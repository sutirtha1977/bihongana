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utirtha/Desktop/Python_Projects/bihongana/data/"/>
    </mc:Choice>
  </mc:AlternateContent>
  <xr:revisionPtr revIDLastSave="0" documentId="13_ncr:1_{524EA80E-C142-6446-ABB9-9FFD4BDE4716}" xr6:coauthVersionLast="47" xr6:coauthVersionMax="47" xr10:uidLastSave="{00000000-0000-0000-0000-000000000000}"/>
  <bookViews>
    <workbookView xWindow="0" yWindow="660" windowWidth="29400" windowHeight="16820" activeTab="5" xr2:uid="{8D5AB74D-824B-C34E-99B0-57E193020948}"/>
  </bookViews>
  <sheets>
    <sheet name="summary" sheetId="3" r:id="rId1"/>
    <sheet name="expense" sheetId="4" r:id="rId2"/>
    <sheet name="inventory" sheetId="1" r:id="rId3"/>
    <sheet name="customer" sheetId="8" r:id="rId4"/>
    <sheet name="transport" sheetId="6" r:id="rId5"/>
    <sheet name="seller" sheetId="2" r:id="rId6"/>
    <sheet name="product" sheetId="9" r:id="rId7"/>
    <sheet name="check" sheetId="5" r:id="rId8"/>
  </sheets>
  <calcPr calcId="191029"/>
  <pivotCaches>
    <pivotCache cacheId="52" r:id="rId9"/>
    <pivotCache cacheId="5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B15" i="3"/>
  <c r="H3" i="3"/>
  <c r="E5" i="3"/>
  <c r="H2" i="3"/>
  <c r="E2" i="3"/>
  <c r="B10" i="3"/>
  <c r="B9" i="3"/>
  <c r="B8" i="3"/>
  <c r="B7" i="3"/>
  <c r="B4" i="3"/>
  <c r="B2" i="3"/>
  <c r="B1" i="3"/>
  <c r="F7" i="5"/>
  <c r="F6" i="5"/>
  <c r="F5" i="5"/>
  <c r="F4" i="5"/>
  <c r="E3" i="3" l="1"/>
  <c r="E4" i="3" s="1"/>
  <c r="E6" i="3" s="1"/>
  <c r="E7" i="3" s="1"/>
  <c r="B11" i="3"/>
  <c r="B16" i="3" s="1"/>
  <c r="B3" i="3"/>
  <c r="H4" i="3"/>
  <c r="H5" i="3" s="1"/>
  <c r="C7" i="3"/>
</calcChain>
</file>

<file path=xl/sharedStrings.xml><?xml version="1.0" encoding="utf-8"?>
<sst xmlns="http://schemas.openxmlformats.org/spreadsheetml/2006/main" count="8314" uniqueCount="2187">
  <si>
    <t>Kinnori Saree</t>
  </si>
  <si>
    <t>201-B Mahatma Gandhi Road, Sadasukh Katra, 1st Floor, Kolkata -700007</t>
  </si>
  <si>
    <t>Shivam Cloth Stores</t>
  </si>
  <si>
    <t>Opposite to BoroBazar Gurudwara</t>
  </si>
  <si>
    <t>Nash Boutique</t>
  </si>
  <si>
    <t>Mullick Bazar, Dakshineswar, Kolkata, WB-700017</t>
  </si>
  <si>
    <t>N G Garments</t>
  </si>
  <si>
    <t>Cotton</t>
  </si>
  <si>
    <t>2, Kolkata GA-90, Sector G, East Kolkata Township, Kolkata- 700107</t>
  </si>
  <si>
    <t>Opposite GST Bhavan,Near Ruby Hospital</t>
  </si>
  <si>
    <t>9007514155, 8370838601</t>
  </si>
  <si>
    <t>Soma Collection</t>
  </si>
  <si>
    <t>Barasaat, 15 Duckbanglow More, kolkata 700127</t>
  </si>
  <si>
    <t>Bus stop- Ramkrishnagar ,Manikpur, Khailshakota Polly, Kolkata</t>
  </si>
  <si>
    <t>Mon-Sat 11am-7pm</t>
  </si>
  <si>
    <t>12/1 Nellie Sengupta Sarani,kol-87</t>
  </si>
  <si>
    <t>45000-50000</t>
  </si>
  <si>
    <t>Everyday 11am-9pm</t>
  </si>
  <si>
    <t>P 82, Lake Town, Ward No 30, Block B, Kolkata-700089</t>
  </si>
  <si>
    <t>Mansa Mandir</t>
  </si>
  <si>
    <t>Aruna Textile Hub</t>
  </si>
  <si>
    <t>Surat Gujarat</t>
  </si>
  <si>
    <t>Sai Dhara NX</t>
  </si>
  <si>
    <t>7567617394(Sachin), 9687002692(Alok)</t>
  </si>
  <si>
    <t>Gargee Creation</t>
  </si>
  <si>
    <t>Barabazar</t>
  </si>
  <si>
    <t>Sr</t>
  </si>
  <si>
    <t>199/5, Mahatma Gandhi Road,
Bholaram Katra, 2nd Floor, Kolkata-700007</t>
  </si>
  <si>
    <t>Everyday 12pm-8am
Friday 1pm-8am</t>
  </si>
  <si>
    <t>Everyday 10:30am-8pm</t>
  </si>
  <si>
    <t>Everyday 10am-11pm</t>
  </si>
  <si>
    <t xml:space="preserve">Adhunika Exclusive </t>
  </si>
  <si>
    <t>1st floor, Holding No.1643NO</t>
  </si>
  <si>
    <t>Lady Queen Wholesale
Raghav Creation (Young Lady)</t>
  </si>
  <si>
    <t>New market</t>
  </si>
  <si>
    <t xml:space="preserve">Ashneh Creation </t>
  </si>
  <si>
    <t>Everyday 11:30am-7pm</t>
  </si>
  <si>
    <t>Bill No.</t>
  </si>
  <si>
    <t>Type</t>
  </si>
  <si>
    <t>Item Description</t>
  </si>
  <si>
    <t>Material</t>
  </si>
  <si>
    <t>Shop Name</t>
  </si>
  <si>
    <t>Avl Size</t>
  </si>
  <si>
    <t>Dress</t>
  </si>
  <si>
    <t>L</t>
  </si>
  <si>
    <t>Sleeveless kurti</t>
  </si>
  <si>
    <t>Quarter sleeves Kurti</t>
  </si>
  <si>
    <t>Malai Cotton</t>
  </si>
  <si>
    <t>XXL</t>
  </si>
  <si>
    <t>M</t>
  </si>
  <si>
    <t>2 Piece</t>
  </si>
  <si>
    <t>shifon</t>
  </si>
  <si>
    <t>-</t>
  </si>
  <si>
    <t>2 piece</t>
  </si>
  <si>
    <t>XL</t>
  </si>
  <si>
    <t>Short top</t>
  </si>
  <si>
    <t>3XL</t>
  </si>
  <si>
    <t>Reyon</t>
  </si>
  <si>
    <t>Halter neck kurti</t>
  </si>
  <si>
    <t>Sleeveless Kurti</t>
  </si>
  <si>
    <t>Modal silk</t>
  </si>
  <si>
    <t>RV Fashion</t>
  </si>
  <si>
    <t>Cotton + Rayon</t>
  </si>
  <si>
    <t>Buy Price</t>
  </si>
  <si>
    <t>Sold</t>
  </si>
  <si>
    <t>Sold Price</t>
  </si>
  <si>
    <t>Price Tag</t>
  </si>
  <si>
    <t>Sold To</t>
  </si>
  <si>
    <t>3 Piece co-ord set</t>
  </si>
  <si>
    <t>3 Piece co-ord set, White with green floral print, straight paint, noodle top, long shrug</t>
  </si>
  <si>
    <t>3 Piece co-ord set, White with orange floral print, straight paint, noodle top, long shrug</t>
  </si>
  <si>
    <t>Red, short shrug Rapid print short shrug in sea green colour with red colour rapid print, Round neck, sleeveless inside and 3 quarter sleeves short shrug</t>
  </si>
  <si>
    <t>Yellow, green floral, straight paint, Square neck, 3 show buttons in Front, sleeveless</t>
  </si>
  <si>
    <t>Sky Blue, straight paint, square neck kurti with 3 show buttons in Front, sleeveless</t>
  </si>
  <si>
    <t>Free</t>
  </si>
  <si>
    <t>Rudra Fashion</t>
  </si>
  <si>
    <t>Dress (High-low) , Sea green with red flower, Round Neck, show buttens in front</t>
  </si>
  <si>
    <t>Ochre Yellow Long shrug, Black colour inside, shrug is in ochre colour with maroon colour print, Round neck sleeveless inside and 3 quarter sleeves shrug</t>
  </si>
  <si>
    <t>Black, short shrug maroon Ajrakh print, Round neck sleeveless inside and 3 quarter sleeves short shrug</t>
  </si>
  <si>
    <t>Yellow, with short shrug in dark green with yellow colour rapid print, Round neck sleeveless inside and 3 quarter sleeves short shrug</t>
  </si>
  <si>
    <t>Black &amp; White Set, Round neck, straight paint, Lace work</t>
  </si>
  <si>
    <t>Baby Pink, mirror work with belt</t>
  </si>
  <si>
    <t>V neck Blue and white floral print, Quarter sleeves</t>
  </si>
  <si>
    <t>V neck Green and white floral print, Quarter sleeves</t>
  </si>
  <si>
    <t>Round neck, purple colour, Quarter sleeves</t>
  </si>
  <si>
    <t>Round neck, peach colour, Quarter sleeves</t>
  </si>
  <si>
    <t>Round neck, Mustard Yellow colour, Quarter sleeves</t>
  </si>
  <si>
    <t>Pink, Round Neck, Sleeveless</t>
  </si>
  <si>
    <t>Yellow, Round Neck, Sleeveless</t>
  </si>
  <si>
    <t>Green, Round Neck, Sleeveless</t>
  </si>
  <si>
    <t>Pink, Shirt collar, Sleeveless</t>
  </si>
  <si>
    <t>Sea Green, Shirt collar, Sleeveless</t>
  </si>
  <si>
    <t>Yellow, Shirt collar, Sleeveless</t>
  </si>
  <si>
    <t>Purple, Round Neck, Sleeveless</t>
  </si>
  <si>
    <t>Black with White Flower, Round Neck, Sleeveless</t>
  </si>
  <si>
    <t xml:space="preserve">Red, Round neck, light thread works in front </t>
  </si>
  <si>
    <t xml:space="preserve">Navy Blue, Round neck, light thread works in front </t>
  </si>
  <si>
    <t xml:space="preserve">Robin Blue, Round neck, light thread works in front </t>
  </si>
  <si>
    <t xml:space="preserve">Purple with white floral print, Round neck, light thread works in front </t>
  </si>
  <si>
    <t xml:space="preserve">SkyBlue with white floral print, Round neck, light thread works in front </t>
  </si>
  <si>
    <t xml:space="preserve">Yellow with white floral print, round neck, light thread works in front </t>
  </si>
  <si>
    <t>Yellow with Floral print, V neck</t>
  </si>
  <si>
    <t>Robin Blue with Floral print, V neck</t>
  </si>
  <si>
    <t>Black with Floral print, V neck</t>
  </si>
  <si>
    <t>Chocolate Brown, angrakha</t>
  </si>
  <si>
    <t>Red-White-Black kurti, Round Neck, thread work</t>
  </si>
  <si>
    <t>Pink, V Neck, angrakha style, thread work</t>
  </si>
  <si>
    <t>Pink, Round Neck, angrakha style thread work</t>
  </si>
  <si>
    <t>Maroon, Round Neck, Ajrakh print &amp; thread work in front</t>
  </si>
  <si>
    <t>Navy Blue, V Neck, Ajrakh Border around the neck</t>
  </si>
  <si>
    <t>Maroon, V Neck, thread work in front</t>
  </si>
  <si>
    <t>Ochre Yellow, sleeveless, print and light thread work in front</t>
  </si>
  <si>
    <t>Yellow, Sleeveless, Hacoba</t>
  </si>
  <si>
    <t>Yellow, all over White zig zag print, light thread works in front</t>
  </si>
  <si>
    <t>Pink, all over White Floral print</t>
  </si>
  <si>
    <t>Dark Green, all over White Floral print, light thread work in front</t>
  </si>
  <si>
    <t>Gray, all over White Floral print, light thread work in front</t>
  </si>
  <si>
    <t>Black, Angrakha style, V Neck, Lace work on neckline</t>
  </si>
  <si>
    <t>White with Multi Colour Strips, V Neck</t>
  </si>
  <si>
    <t>Blue, All over sky blue &amp; red thread work, round neck</t>
  </si>
  <si>
    <t>Magenta middle &amp; white both side, round neck, light thread work</t>
  </si>
  <si>
    <t>White with sky blue strips, round neck, light red strip thread work</t>
  </si>
  <si>
    <t>Indigo, round neck, All over printed light red thread work</t>
  </si>
  <si>
    <t>Maroon-Blue, angrakha style, lace thread work in front</t>
  </si>
  <si>
    <t>Bottle Green, Shirt collar, Sleeveless, floral Print</t>
  </si>
  <si>
    <t>White with multi colour, Shirt collar, Sleeveless, floral Print</t>
  </si>
  <si>
    <t>White, Hacoba gown all over thread work</t>
  </si>
  <si>
    <t>N</t>
  </si>
  <si>
    <t>Total Inventory</t>
  </si>
  <si>
    <t># Sold</t>
  </si>
  <si>
    <t>Date</t>
  </si>
  <si>
    <t>Item</t>
  </si>
  <si>
    <t>Contact</t>
  </si>
  <si>
    <t>Cost</t>
  </si>
  <si>
    <t>Expense Type</t>
  </si>
  <si>
    <t>Garments</t>
  </si>
  <si>
    <t>9123632189 ,8910547566</t>
  </si>
  <si>
    <t>Ring Light</t>
  </si>
  <si>
    <t>Barobazar</t>
  </si>
  <si>
    <t>Packing meterials + sticker</t>
  </si>
  <si>
    <t>Souvik Palit</t>
  </si>
  <si>
    <t>8296100622, 7278523077</t>
  </si>
  <si>
    <t>1st live payment</t>
  </si>
  <si>
    <t>Paromita's BTM</t>
  </si>
  <si>
    <t>9674577149, 7439467048</t>
  </si>
  <si>
    <t>Shapoorji Exhibition rent</t>
  </si>
  <si>
    <t xml:space="preserve">Sristi </t>
  </si>
  <si>
    <t>Exhibition item</t>
  </si>
  <si>
    <t>local shop</t>
  </si>
  <si>
    <t>Arindam da</t>
  </si>
  <si>
    <t>Company Visiting Card(100)</t>
  </si>
  <si>
    <t>Palashi printingwork</t>
  </si>
  <si>
    <t>Local shop</t>
  </si>
  <si>
    <t>Tamojit Ghosh</t>
  </si>
  <si>
    <t>Dwitipriya Dutta</t>
  </si>
  <si>
    <t>RV Fashions</t>
  </si>
  <si>
    <t>9007839660, 9674288512</t>
  </si>
  <si>
    <t>Misc</t>
  </si>
  <si>
    <t>NA</t>
  </si>
  <si>
    <t>Transport</t>
  </si>
  <si>
    <t>Rent</t>
  </si>
  <si>
    <t>Total Inventory Cost</t>
  </si>
  <si>
    <t>Total</t>
  </si>
  <si>
    <t>Y</t>
  </si>
  <si>
    <t>Sumit Sapoorji</t>
  </si>
  <si>
    <t>Susmita Bhowmik</t>
  </si>
  <si>
    <r>
      <t>Rapid Aline Kurti, In</t>
    </r>
    <r>
      <rPr>
        <sz val="11"/>
        <color theme="4" tint="0.39997558519241921"/>
        <rFont val="Calibri"/>
        <family val="2"/>
      </rPr>
      <t xml:space="preserve"> ochre yellow</t>
    </r>
    <r>
      <rPr>
        <sz val="11"/>
        <color theme="1"/>
        <rFont val="Calibri"/>
        <family val="2"/>
      </rPr>
      <t xml:space="preserve"> olive and blue rapid print, Shirt collar, one side pocket, wooden show buttons in front, slit at the end</t>
    </r>
  </si>
  <si>
    <t>Sunita Rath(Emami)</t>
  </si>
  <si>
    <r>
      <t xml:space="preserve">Rapid Aline Kurti, In </t>
    </r>
    <r>
      <rPr>
        <sz val="11"/>
        <color theme="4" tint="0.39997558519241921"/>
        <rFont val="Calibri"/>
        <family val="2"/>
      </rPr>
      <t>ochre yellow</t>
    </r>
    <r>
      <rPr>
        <sz val="11"/>
        <color theme="1"/>
        <rFont val="Calibri"/>
        <family val="2"/>
      </rPr>
      <t xml:space="preserve"> olive and blue rapid print, Shirt collar, one side pocket, wooden show buttons in front, slit at the end</t>
    </r>
  </si>
  <si>
    <r>
      <t xml:space="preserve">Ajrakh Aline Kurti, </t>
    </r>
    <r>
      <rPr>
        <sz val="11"/>
        <color theme="4" tint="0.39997558519241921"/>
        <rFont val="Calibri"/>
        <family val="2"/>
      </rPr>
      <t>White</t>
    </r>
    <r>
      <rPr>
        <sz val="11"/>
        <color theme="1"/>
        <rFont val="Calibri"/>
        <family val="2"/>
      </rPr>
      <t xml:space="preserve"> colour with red black and blue ajrakh hand printed, Shirt collar, one side pocket, wooden show buttons in front, slit at the end</t>
    </r>
  </si>
  <si>
    <r>
      <t xml:space="preserve">Boyfrnd dress, White strip on </t>
    </r>
    <r>
      <rPr>
        <sz val="11"/>
        <color theme="3" tint="0.499984740745262"/>
        <rFont val="Calibri"/>
        <family val="2"/>
      </rPr>
      <t>Red</t>
    </r>
    <r>
      <rPr>
        <sz val="11"/>
        <color theme="1"/>
        <rFont val="Calibri"/>
        <family val="2"/>
      </rPr>
      <t xml:space="preserve"> colour, Shirt collar button in fount</t>
    </r>
  </si>
  <si>
    <r>
      <t xml:space="preserve">Boyfrnd dress, White strip on </t>
    </r>
    <r>
      <rPr>
        <sz val="11"/>
        <color theme="3" tint="0.499984740745262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Shirt collar button in fount</t>
    </r>
  </si>
  <si>
    <t>Davi</t>
  </si>
  <si>
    <t>Joyita Banik</t>
  </si>
  <si>
    <t>Yellow , with short shrug in dark green with yellow colour rapid print, Round neck sleeveless inside and 3 quarter sleeves short shrug</t>
  </si>
  <si>
    <t>Souravi Sur</t>
  </si>
  <si>
    <t>Sudipta</t>
  </si>
  <si>
    <t>Sompa (owner)</t>
  </si>
  <si>
    <t>Pink, Bandhani Print Gown</t>
  </si>
  <si>
    <t>Red, Bandhani Print Gown</t>
  </si>
  <si>
    <t>Purnima Jadav</t>
  </si>
  <si>
    <t>Moumita Das</t>
  </si>
  <si>
    <t>Bandana Shing</t>
  </si>
  <si>
    <t>V neck White with Blue flower print, Quarter sleeves</t>
  </si>
  <si>
    <t>Bubli Didi</t>
  </si>
  <si>
    <t>Preeti Kumari Sapoorji</t>
  </si>
  <si>
    <t>Sipra Mukherjee</t>
  </si>
  <si>
    <t>Blue with White Flower, Round Neck, Sleeveless</t>
  </si>
  <si>
    <t>Panchali Sapoorji</t>
  </si>
  <si>
    <t>Puja</t>
  </si>
  <si>
    <t xml:space="preserve">Yellow, kalamkari print, aplic with DUCK thread works in front </t>
  </si>
  <si>
    <t xml:space="preserve">Blue, kalamkari print,Round neck, aplic with DUCK thread works in front </t>
  </si>
  <si>
    <t xml:space="preserve">Green,kalamkari print, Round neck, aplic with DUCK thread works in front </t>
  </si>
  <si>
    <t xml:space="preserve">Maroon, kalamkari print, Round neck, aplic with DUCK thread works in front </t>
  </si>
  <si>
    <t>Red with Floral print, V neck</t>
  </si>
  <si>
    <t>Black-White-Red kurti, Round Neck, thread work</t>
  </si>
  <si>
    <t>Zed black, Molmol,sleeveless, print and light thread work in front</t>
  </si>
  <si>
    <t>Sathi Chakraborty</t>
  </si>
  <si>
    <t>Piyali</t>
  </si>
  <si>
    <t>Sujata</t>
  </si>
  <si>
    <t xml:space="preserve">Maroon sleeveless, All over print and light thread work </t>
  </si>
  <si>
    <t xml:space="preserve">Black sleeveless, All over print and light thread work </t>
  </si>
  <si>
    <t xml:space="preserve">Chocolate Brown, sleeveless, All over print and light thread work </t>
  </si>
  <si>
    <t xml:space="preserve">Black, Kalamkari all over printed </t>
  </si>
  <si>
    <t xml:space="preserve">Maroon, all over printed </t>
  </si>
  <si>
    <t>white, Aplic work kurti</t>
  </si>
  <si>
    <t>Black, Aplic work kurti</t>
  </si>
  <si>
    <t>Black and red kurti</t>
  </si>
  <si>
    <t>chaitali</t>
  </si>
  <si>
    <t>Blue Bandni Kurti</t>
  </si>
  <si>
    <t>Anju Halder</t>
  </si>
  <si>
    <t>tutun</t>
  </si>
  <si>
    <t>shika Kakima</t>
  </si>
  <si>
    <t>Purple Kurti</t>
  </si>
  <si>
    <t>Arpita Saha</t>
  </si>
  <si>
    <t>Runa Saha</t>
  </si>
  <si>
    <t>Riya</t>
  </si>
  <si>
    <t>Light Green Kurti</t>
  </si>
  <si>
    <t>Bhaswati Mukherjee</t>
  </si>
  <si>
    <t>#Unsold</t>
  </si>
  <si>
    <t>Margin</t>
  </si>
  <si>
    <t>Tanaya Share</t>
  </si>
  <si>
    <t>Shampa Share</t>
  </si>
  <si>
    <t>Total Investment</t>
  </si>
  <si>
    <t>Expenses</t>
  </si>
  <si>
    <t>Total Cost</t>
  </si>
  <si>
    <t>Profit/Loss</t>
  </si>
  <si>
    <t>Item Cost Price</t>
  </si>
  <si>
    <t>Item Sell Price</t>
  </si>
  <si>
    <t>Sold Items With Expenses</t>
  </si>
  <si>
    <t>Sold Items Without Expenses</t>
  </si>
  <si>
    <t>Money Left in Bank</t>
  </si>
  <si>
    <t>Row Labels</t>
  </si>
  <si>
    <t>(blank)</t>
  </si>
  <si>
    <t>Grand Total</t>
  </si>
  <si>
    <t>Sum of Buy Price</t>
  </si>
  <si>
    <t>Sum of Cost</t>
  </si>
  <si>
    <t>Surana Fashion</t>
  </si>
  <si>
    <t>mikelNager</t>
  </si>
  <si>
    <t xml:space="preserve">11:00pm - 6:00pm </t>
  </si>
  <si>
    <t>Sleevless co-ord set</t>
  </si>
  <si>
    <t>chocolate colour solid colour co-ord set</t>
  </si>
  <si>
    <t>Robin Blue colour solid colour co-ord set</t>
  </si>
  <si>
    <t>Cream colour, solid colour, shirt coller dress</t>
  </si>
  <si>
    <t>Pink full length dress, floral print, shirt coller dress</t>
  </si>
  <si>
    <t>Gray full length dress, floral print, shirt coller dress</t>
  </si>
  <si>
    <t>White full length dress, floral print, shirt coller dress</t>
  </si>
  <si>
    <t>Steel Blue full length dress, floral print, shirt coller dress</t>
  </si>
  <si>
    <t>Dark Green, solid colour, shirt coller dress</t>
  </si>
  <si>
    <t>Moslin</t>
  </si>
  <si>
    <t>Dola</t>
  </si>
  <si>
    <t>Bichitra</t>
  </si>
  <si>
    <t>Roman Silk</t>
  </si>
  <si>
    <r>
      <t xml:space="preserve">V neck, </t>
    </r>
    <r>
      <rPr>
        <sz val="11"/>
        <color rgb="FFFF0000"/>
        <rFont val="Calibri"/>
        <family val="2"/>
      </rPr>
      <t>Lavender</t>
    </r>
    <r>
      <rPr>
        <sz val="11"/>
        <color theme="1"/>
        <rFont val="Calibri"/>
        <family val="2"/>
      </rPr>
      <t xml:space="preserve"> Colour, Golden, pink and yellow Havey  bites and thread work</t>
    </r>
  </si>
  <si>
    <r>
      <t xml:space="preserve">V neck, </t>
    </r>
    <r>
      <rPr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Colour, Golden and White Havey  bites work</t>
    </r>
  </si>
  <si>
    <r>
      <t xml:space="preserve">Round Neck, </t>
    </r>
    <r>
      <rPr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colour, sleeveless, Golden Thread work in front</t>
    </r>
  </si>
  <si>
    <r>
      <t xml:space="preserve">Round Neck, </t>
    </r>
    <r>
      <rPr>
        <sz val="11"/>
        <color rgb="FFFF0000"/>
        <rFont val="Calibri"/>
        <family val="2"/>
      </rPr>
      <t>Army Green</t>
    </r>
    <r>
      <rPr>
        <sz val="11"/>
        <color theme="1"/>
        <rFont val="Calibri"/>
        <family val="2"/>
      </rPr>
      <t xml:space="preserve"> colour, sleeveless, Golden Thread work in front</t>
    </r>
  </si>
  <si>
    <r>
      <t xml:space="preserve">Round Neck, </t>
    </r>
    <r>
      <rPr>
        <sz val="11"/>
        <color rgb="FFFF0000"/>
        <rFont val="Calibri"/>
        <family val="2"/>
      </rPr>
      <t>Maroon red</t>
    </r>
    <r>
      <rPr>
        <sz val="11"/>
        <color theme="1"/>
        <rFont val="Calibri"/>
        <family val="2"/>
      </rPr>
      <t xml:space="preserve"> colour, sleeveless, Golden Thread work in front</t>
    </r>
  </si>
  <si>
    <r>
      <t xml:space="preserve">V neck, </t>
    </r>
    <r>
      <rPr>
        <sz val="11"/>
        <color rgb="FFFF0000"/>
        <rFont val="Calibri"/>
        <family val="2"/>
      </rPr>
      <t>Sea Green</t>
    </r>
    <r>
      <rPr>
        <sz val="11"/>
        <color theme="1"/>
        <rFont val="Calibri"/>
        <family val="2"/>
      </rPr>
      <t xml:space="preserve"> colour,Floral print, Pink and green thread work </t>
    </r>
  </si>
  <si>
    <r>
      <t xml:space="preserve">V neck , Quarter sleeves, </t>
    </r>
    <r>
      <rPr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red and golden Havey thread and bites work</t>
    </r>
  </si>
  <si>
    <r>
      <t xml:space="preserve">V neck , Quarter sleeves, </t>
    </r>
    <r>
      <rPr>
        <sz val="11"/>
        <color rgb="FFFF0000"/>
        <rFont val="Calibri"/>
        <family val="2"/>
      </rPr>
      <t>Rani Pink</t>
    </r>
    <r>
      <rPr>
        <sz val="11"/>
        <color theme="1"/>
        <rFont val="Calibri"/>
        <family val="2"/>
      </rPr>
      <t xml:space="preserve"> colour, Yellow and golden Havey thread and bites work</t>
    </r>
  </si>
  <si>
    <r>
      <t xml:space="preserve">V neck , Quarter sleeves, </t>
    </r>
    <r>
      <rPr>
        <sz val="11"/>
        <color rgb="FFFF0000"/>
        <rFont val="Calibri"/>
        <family val="2"/>
      </rPr>
      <t>Pesta Green</t>
    </r>
    <r>
      <rPr>
        <sz val="11"/>
        <color theme="1"/>
        <rFont val="Calibri"/>
        <family val="2"/>
      </rPr>
      <t xml:space="preserve"> colour, red and golden Havey thread and bites work</t>
    </r>
  </si>
  <si>
    <r>
      <t xml:space="preserve">V neck , Quarter sleeves, </t>
    </r>
    <r>
      <rPr>
        <sz val="11"/>
        <color rgb="FFFF0000"/>
        <rFont val="Calibri"/>
        <family val="2"/>
      </rPr>
      <t>robin blue</t>
    </r>
    <r>
      <rPr>
        <sz val="11"/>
        <color theme="1"/>
        <rFont val="Calibri"/>
        <family val="2"/>
      </rPr>
      <t>, red and golden Havey thread and bites work</t>
    </r>
  </si>
  <si>
    <t xml:space="preserve">Imported </t>
  </si>
  <si>
    <t>Benarasi</t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</si>
  <si>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>, Angrakha pattern ,all over Benarasi work</t>
    </r>
  </si>
  <si>
    <t>White</t>
  </si>
  <si>
    <t>free</t>
  </si>
  <si>
    <t>Navy Blue</t>
  </si>
  <si>
    <t>Tarun choudhury</t>
  </si>
  <si>
    <t>Priyanka Roy</t>
  </si>
  <si>
    <t>shilpi Das</t>
  </si>
  <si>
    <t>sujata (indira moidan)</t>
  </si>
  <si>
    <t>Sharmista</t>
  </si>
  <si>
    <t>Chaitali Mukherjee</t>
  </si>
  <si>
    <t>Indira</t>
  </si>
  <si>
    <t>Nidhi Kumari</t>
  </si>
  <si>
    <t>Black</t>
  </si>
  <si>
    <t>Rani</t>
  </si>
  <si>
    <t>Maroon</t>
  </si>
  <si>
    <t>Skirti-Top Set</t>
  </si>
  <si>
    <r>
      <t xml:space="preserve">Blazer collar </t>
    </r>
    <r>
      <rPr>
        <sz val="11"/>
        <color rgb="FF0070C0"/>
        <rFont val="Calibri"/>
        <family val="2"/>
      </rPr>
      <t>Black</t>
    </r>
    <r>
      <rPr>
        <sz val="11"/>
        <color theme="1"/>
        <rFont val="Calibri"/>
        <family val="2"/>
      </rPr>
      <t xml:space="preserve"> Top &amp; </t>
    </r>
    <r>
      <rPr>
        <sz val="11"/>
        <color rgb="FF0070C0"/>
        <rFont val="Calibri"/>
        <family val="2"/>
      </rPr>
      <t>Maroon</t>
    </r>
    <r>
      <rPr>
        <sz val="11"/>
        <color theme="1"/>
        <rFont val="Calibri"/>
        <family val="2"/>
      </rPr>
      <t xml:space="preserve"> pencil skirt</t>
    </r>
  </si>
  <si>
    <r>
      <t xml:space="preserve">V neck, </t>
    </r>
    <r>
      <rPr>
        <sz val="11"/>
        <color rgb="FF0070C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Quarter sleeves, red abd blue Print </t>
    </r>
  </si>
  <si>
    <r>
      <t xml:space="preserve">V neck, </t>
    </r>
    <r>
      <rPr>
        <sz val="11"/>
        <color rgb="FF0070C0"/>
        <rFont val="Calibri"/>
        <family val="2"/>
      </rPr>
      <t>Rani</t>
    </r>
    <r>
      <rPr>
        <sz val="11"/>
        <color theme="1"/>
        <rFont val="Calibri"/>
        <family val="2"/>
      </rPr>
      <t xml:space="preserve"> Colour kurti, Kardana work at the neck line</t>
    </r>
  </si>
  <si>
    <r>
      <t xml:space="preserve">V neck, </t>
    </r>
    <r>
      <rPr>
        <sz val="11"/>
        <color rgb="FF0070C0"/>
        <rFont val="Calibri"/>
        <family val="2"/>
      </rPr>
      <t>Blue</t>
    </r>
    <r>
      <rPr>
        <sz val="11"/>
        <color theme="1"/>
        <rFont val="Calibri"/>
        <family val="2"/>
      </rPr>
      <t xml:space="preserve"> Colour kurti, Kardana work at the neck line</t>
    </r>
  </si>
  <si>
    <t>4XL</t>
  </si>
  <si>
    <r>
      <t xml:space="preserve">Round neck, </t>
    </r>
    <r>
      <rPr>
        <sz val="11"/>
        <color rgb="FF0070C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 kurti, </t>
    </r>
    <r>
      <rPr>
        <sz val="11"/>
        <color rgb="FF0070C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 Ajrakh Print modal silk patch in front </t>
    </r>
  </si>
  <si>
    <r>
      <t xml:space="preserve">Shirt Collar </t>
    </r>
    <r>
      <rPr>
        <sz val="11"/>
        <color rgb="FF0070C0"/>
        <rFont val="Calibri"/>
        <family val="2"/>
      </rPr>
      <t>Blue</t>
    </r>
    <r>
      <rPr>
        <sz val="11"/>
        <color theme="1"/>
        <rFont val="Calibri"/>
        <family val="2"/>
      </rPr>
      <t xml:space="preserve"> colour co-ord set, kardana work at the collar</t>
    </r>
  </si>
  <si>
    <r>
      <t xml:space="preserve">Round neck, </t>
    </r>
    <r>
      <rPr>
        <sz val="11"/>
        <color rgb="FF0070C0"/>
        <rFont val="Calibri"/>
        <family val="2"/>
      </rPr>
      <t>Blue</t>
    </r>
    <r>
      <rPr>
        <sz val="11"/>
        <color theme="1"/>
        <rFont val="Calibri"/>
        <family val="2"/>
      </rPr>
      <t xml:space="preserve"> colour kurti, Ajrakh Print modal silk patch in front </t>
    </r>
  </si>
  <si>
    <r>
      <t xml:space="preserve">Round Neck, </t>
    </r>
    <r>
      <rPr>
        <sz val="11"/>
        <color rgb="FF0070C0"/>
        <rFont val="Calibri"/>
        <family val="2"/>
      </rPr>
      <t>Pink</t>
    </r>
    <r>
      <rPr>
        <sz val="11"/>
        <color theme="1"/>
        <rFont val="Calibri"/>
        <family val="2"/>
      </rPr>
      <t xml:space="preserve"> colour kurti thread work at the neck line</t>
    </r>
  </si>
  <si>
    <r>
      <t xml:space="preserve">V Neck, </t>
    </r>
    <r>
      <rPr>
        <sz val="11"/>
        <color rgb="FF0070C0"/>
        <rFont val="Calibri"/>
        <family val="2"/>
      </rPr>
      <t>Orange</t>
    </r>
    <r>
      <rPr>
        <sz val="11"/>
        <color theme="1"/>
        <rFont val="Calibri"/>
        <family val="2"/>
      </rPr>
      <t xml:space="preserve"> colour kurti with all over floral print thread work at the neck line</t>
    </r>
  </si>
  <si>
    <r>
      <t xml:space="preserve">V Neck, </t>
    </r>
    <r>
      <rPr>
        <sz val="11"/>
        <color rgb="FF0070C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 kurti with all over floral print thread work at the neck line</t>
    </r>
  </si>
  <si>
    <r>
      <rPr>
        <sz val="11"/>
        <color rgb="FF0070C0"/>
        <rFont val="Calibri"/>
        <family val="2"/>
      </rPr>
      <t>Black-Orange</t>
    </r>
    <r>
      <rPr>
        <sz val="11"/>
        <color theme="1"/>
        <rFont val="Calibri"/>
        <family val="2"/>
      </rPr>
      <t>, Shirt collar, Sleeveless, floral print</t>
    </r>
  </si>
  <si>
    <r>
      <rPr>
        <sz val="11"/>
        <color rgb="FF0070C0"/>
        <rFont val="Calibri"/>
        <family val="2"/>
      </rPr>
      <t>Sea Green</t>
    </r>
    <r>
      <rPr>
        <sz val="11"/>
        <color theme="1"/>
        <rFont val="Calibri"/>
        <family val="2"/>
      </rPr>
      <t>, Shirt collar, Sleeveless</t>
    </r>
  </si>
  <si>
    <r>
      <rPr>
        <sz val="11"/>
        <color rgb="FF0070C0"/>
        <rFont val="Calibri"/>
        <family val="2"/>
      </rPr>
      <t>Rani</t>
    </r>
    <r>
      <rPr>
        <sz val="11"/>
        <color theme="1"/>
        <rFont val="Calibri"/>
        <family val="2"/>
      </rPr>
      <t>, Shirt collar, Sleeveless</t>
    </r>
  </si>
  <si>
    <r>
      <rPr>
        <sz val="11"/>
        <color rgb="FF0070C0"/>
        <rFont val="Calibri"/>
        <family val="2"/>
      </rPr>
      <t>Black</t>
    </r>
    <r>
      <rPr>
        <sz val="11"/>
        <color theme="1"/>
        <rFont val="Calibri"/>
        <family val="2"/>
      </rPr>
      <t>, Shirt collar, Sleeveless</t>
    </r>
  </si>
  <si>
    <t>Palazo Pant</t>
  </si>
  <si>
    <r>
      <t xml:space="preserve">V neck, </t>
    </r>
    <r>
      <rPr>
        <sz val="11"/>
        <color rgb="FF0070C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 kurti,  pure modal silk,Ajrakh Print</t>
    </r>
  </si>
  <si>
    <t>Kanta</t>
  </si>
  <si>
    <r>
      <rPr>
        <sz val="11"/>
        <color rgb="FFFF0000"/>
        <rFont val="Calibri"/>
        <family val="2"/>
      </rPr>
      <t>Gray Long shrug</t>
    </r>
    <r>
      <rPr>
        <sz val="11"/>
        <color theme="1"/>
        <rFont val="Calibri"/>
        <family val="2"/>
      </rPr>
      <t>, Bright green colour inside, Round neck, sleeveless inside and 3 quarter sleeves shrug</t>
    </r>
  </si>
  <si>
    <t>Apna Andaaz</t>
  </si>
  <si>
    <t>LaxmiPlaza, Room No.-!17, 1stFloor, 6, Hanspukur Lane, Kolkata-700007</t>
  </si>
  <si>
    <r>
      <t xml:space="preserve">Shirt Collar </t>
    </r>
    <r>
      <rPr>
        <sz val="11"/>
        <color rgb="FF0070C0"/>
        <rFont val="Calibri"/>
        <family val="2"/>
      </rPr>
      <t>Multi Colour</t>
    </r>
    <r>
      <rPr>
        <sz val="11"/>
        <color theme="1"/>
        <rFont val="Calibri"/>
        <family val="2"/>
      </rPr>
      <t xml:space="preserve"> Kurta with </t>
    </r>
    <r>
      <rPr>
        <sz val="11"/>
        <color rgb="FF0070C0"/>
        <rFont val="Calibri"/>
        <family val="2"/>
      </rPr>
      <t>Pink</t>
    </r>
    <r>
      <rPr>
        <sz val="11"/>
        <color theme="1"/>
        <rFont val="Calibri"/>
        <family val="2"/>
      </rPr>
      <t xml:space="preserve"> Afgani Pant</t>
    </r>
  </si>
  <si>
    <t>Chinon</t>
  </si>
  <si>
    <r>
      <rPr>
        <sz val="11"/>
        <color rgb="FF0070C0"/>
        <rFont val="Calibri"/>
        <family val="2"/>
      </rPr>
      <t>Rani</t>
    </r>
    <r>
      <rPr>
        <sz val="11"/>
        <color theme="1"/>
        <rFont val="Calibri"/>
        <family val="2"/>
      </rPr>
      <t xml:space="preserve"> colour with budni print , punjabi collar</t>
    </r>
  </si>
  <si>
    <r>
      <rPr>
        <sz val="11"/>
        <color rgb="FF0070C0"/>
        <rFont val="Calibri"/>
        <family val="2"/>
      </rPr>
      <t>Rani</t>
    </r>
    <r>
      <rPr>
        <sz val="11"/>
        <color theme="1"/>
        <rFont val="Calibri"/>
        <family val="2"/>
      </rPr>
      <t xml:space="preserve"> colour with floral print Kurti , Round neck, Zardozi Work</t>
    </r>
  </si>
  <si>
    <t>Russian Silk</t>
  </si>
  <si>
    <r>
      <rPr>
        <sz val="11"/>
        <color rgb="FF0070C0"/>
        <rFont val="Calibri"/>
        <family val="2"/>
      </rPr>
      <t>Gray</t>
    </r>
    <r>
      <rPr>
        <sz val="11"/>
        <color theme="1"/>
        <rFont val="Calibri"/>
        <family val="2"/>
      </rPr>
      <t xml:space="preserve"> Cord Set With belt, Shirt Coller,  Zardozi Work on coller and belt</t>
    </r>
  </si>
  <si>
    <r>
      <t xml:space="preserve">V Neck,  </t>
    </r>
    <r>
      <rPr>
        <sz val="11"/>
        <color rgb="FF0070C0"/>
        <rFont val="Calibri"/>
        <family val="2"/>
      </rPr>
      <t>Multi Colour</t>
    </r>
    <r>
      <rPr>
        <sz val="11"/>
        <color theme="1"/>
        <rFont val="Calibri"/>
        <family val="2"/>
      </rPr>
      <t xml:space="preserve"> Cord set with mirror work on the neck line</t>
    </r>
  </si>
  <si>
    <r>
      <rPr>
        <sz val="11"/>
        <color rgb="FF0070C0"/>
        <rFont val="Calibri"/>
        <family val="2"/>
      </rPr>
      <t>Mustard Yellow</t>
    </r>
    <r>
      <rPr>
        <sz val="11"/>
        <color theme="1"/>
        <rFont val="Calibri"/>
        <family val="2"/>
      </rPr>
      <t xml:space="preserve"> Colour, Lucknow chikankari kurti</t>
    </r>
  </si>
  <si>
    <r>
      <t xml:space="preserve">V neck, </t>
    </r>
    <r>
      <rPr>
        <sz val="11"/>
        <color rgb="FF0070C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colour,Floral print, White thread work on the neck line</t>
    </r>
  </si>
  <si>
    <r>
      <t xml:space="preserve">V neck, </t>
    </r>
    <r>
      <rPr>
        <sz val="11"/>
        <color rgb="FF0070C0"/>
        <rFont val="Calibri"/>
        <family val="2"/>
      </rPr>
      <t>Magenta</t>
    </r>
    <r>
      <rPr>
        <sz val="11"/>
        <color theme="1"/>
        <rFont val="Calibri"/>
        <family val="2"/>
      </rPr>
      <t xml:space="preserve"> colour, Floral print, White thread work on the neck line</t>
    </r>
  </si>
  <si>
    <r>
      <t xml:space="preserve">V Neck with collar, </t>
    </r>
    <r>
      <rPr>
        <sz val="11"/>
        <color rgb="FF0070C0"/>
        <rFont val="Calibri"/>
        <family val="2"/>
      </rPr>
      <t>Red</t>
    </r>
    <r>
      <rPr>
        <sz val="11"/>
        <color theme="1"/>
        <rFont val="Calibri"/>
        <family val="2"/>
      </rPr>
      <t xml:space="preserve"> colour kurti with Ajrakh Print </t>
    </r>
  </si>
  <si>
    <r>
      <t xml:space="preserve">V Neck with collar, </t>
    </r>
    <r>
      <rPr>
        <sz val="11"/>
        <color rgb="FF0070C0"/>
        <rFont val="Calibri"/>
        <family val="2"/>
      </rPr>
      <t>Red</t>
    </r>
    <r>
      <rPr>
        <sz val="11"/>
        <color theme="1"/>
        <rFont val="Calibri"/>
        <family val="2"/>
      </rPr>
      <t xml:space="preserve"> colour with Ajrakh Print Kurti</t>
    </r>
  </si>
  <si>
    <r>
      <t xml:space="preserve">V Neck, </t>
    </r>
    <r>
      <rPr>
        <sz val="11"/>
        <color rgb="FF0070C0"/>
        <rFont val="Calibri"/>
        <family val="2"/>
      </rPr>
      <t>Rani</t>
    </r>
    <r>
      <rPr>
        <sz val="11"/>
        <color theme="1"/>
        <rFont val="Calibri"/>
        <family val="2"/>
      </rPr>
      <t xml:space="preserve"> colour, Golden Thread (Muksh)work at the neck line</t>
    </r>
  </si>
  <si>
    <t>Cotton + Reyon</t>
  </si>
  <si>
    <t>Garments Stand</t>
  </si>
  <si>
    <t>mayur hanger mart</t>
  </si>
  <si>
    <t>Return Gift item</t>
  </si>
  <si>
    <t>Hanger + Clip + Bag</t>
  </si>
  <si>
    <t>Raju</t>
  </si>
  <si>
    <r>
      <t xml:space="preserve">V Neck with collar, </t>
    </r>
    <r>
      <rPr>
        <sz val="11"/>
        <color rgb="FF0070C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 kurti with Ajrakh Print </t>
    </r>
  </si>
  <si>
    <t>Sumona sen</t>
  </si>
  <si>
    <t>S.Panda</t>
  </si>
  <si>
    <t>Ruma Mukherjee</t>
  </si>
  <si>
    <t>Mahuya Lahiri</t>
  </si>
  <si>
    <t>KrishnaPriya Collection</t>
  </si>
  <si>
    <t>Shampa Sarkar</t>
  </si>
  <si>
    <t>Lata</t>
  </si>
  <si>
    <t>S.Mukherjee</t>
  </si>
  <si>
    <t>P. Sarkar</t>
  </si>
  <si>
    <t>Banner</t>
  </si>
  <si>
    <t>Sahachori</t>
  </si>
  <si>
    <t>Tanaya(Owner)</t>
  </si>
  <si>
    <t>Lake Town seller</t>
  </si>
  <si>
    <t>garments</t>
  </si>
  <si>
    <t>Blazer collar YellowTop &amp; blue printed pencil skirt</t>
  </si>
  <si>
    <r>
      <t xml:space="preserve">Blazer collar Blue Top &amp; </t>
    </r>
    <r>
      <rPr>
        <sz val="11"/>
        <color rgb="FF0070C0"/>
        <rFont val="Calibri"/>
        <family val="2"/>
      </rPr>
      <t>Maroon</t>
    </r>
    <r>
      <rPr>
        <sz val="11"/>
        <color theme="1"/>
        <rFont val="Calibri"/>
        <family val="2"/>
      </rPr>
      <t xml:space="preserve"> pencil skirt</t>
    </r>
  </si>
  <si>
    <r>
      <t xml:space="preserve">Blazer collar </t>
    </r>
    <r>
      <rPr>
        <sz val="11"/>
        <color rgb="FF0070C0"/>
        <rFont val="Calibri"/>
        <family val="2"/>
      </rPr>
      <t xml:space="preserve">Blue </t>
    </r>
    <r>
      <rPr>
        <sz val="11"/>
        <color theme="1"/>
        <rFont val="Calibri"/>
        <family val="2"/>
      </rPr>
      <t xml:space="preserve">Top &amp; </t>
    </r>
    <r>
      <rPr>
        <sz val="11"/>
        <color rgb="FF0070C0"/>
        <rFont val="Calibri"/>
        <family val="2"/>
      </rPr>
      <t>Maroon</t>
    </r>
    <r>
      <rPr>
        <sz val="11"/>
        <color theme="1"/>
        <rFont val="Calibri"/>
        <family val="2"/>
      </rPr>
      <t xml:space="preserve"> pencil skirt</t>
    </r>
  </si>
  <si>
    <t>Sagota's Mom</t>
  </si>
  <si>
    <t>Pomi</t>
  </si>
  <si>
    <t>5XL</t>
  </si>
  <si>
    <r>
      <rPr>
        <sz val="11"/>
        <color rgb="FFFF0000"/>
        <rFont val="Calibri"/>
        <family val="2"/>
      </rPr>
      <t>Red</t>
    </r>
    <r>
      <rPr>
        <sz val="11"/>
        <rFont val="Calibri"/>
        <family val="2"/>
      </rPr>
      <t xml:space="preserve"> colour, Round Neck, ikat style, White patch with thread work in front</t>
    </r>
  </si>
  <si>
    <r>
      <rPr>
        <sz val="11"/>
        <color rgb="FFFF0000"/>
        <rFont val="Calibri"/>
        <family val="2"/>
      </rPr>
      <t>BLUE,</t>
    </r>
    <r>
      <rPr>
        <sz val="11"/>
        <rFont val="Calibri"/>
        <family val="2"/>
      </rPr>
      <t xml:space="preserve"> Angrakha style, V Neck, ikat style, Red patch, thread work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</si>
  <si>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Angrakha style, V Neck, </t>
    </r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Jamdani work</t>
    </r>
  </si>
  <si>
    <r>
      <rPr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Angrakha style, V Neck, </t>
    </r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Jamdani work</t>
    </r>
  </si>
  <si>
    <t>WHITE with blue floral print</t>
  </si>
  <si>
    <t>6XL</t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</si>
  <si>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kurti with White patch in front and sleeves, Round nack</t>
    </r>
  </si>
  <si>
    <r>
      <rPr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kurti with red patch in front and sleeves, Round nack</t>
    </r>
  </si>
  <si>
    <r>
      <rPr>
        <sz val="11"/>
        <color rgb="FFFF0000"/>
        <rFont val="Calibri"/>
        <family val="2"/>
      </rPr>
      <t>Zed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>, V neck, multi colour thread work, Kashmiri style</t>
    </r>
  </si>
  <si>
    <r>
      <t>Zed black,</t>
    </r>
    <r>
      <rPr>
        <sz val="11"/>
        <rFont val="Calibri"/>
        <family val="2"/>
      </rPr>
      <t xml:space="preserve"> V neck, multi colour thread work, Kashmiri style</t>
    </r>
  </si>
  <si>
    <r>
      <rPr>
        <sz val="11"/>
        <color rgb="FFFF0000"/>
        <rFont val="Calibri"/>
        <family val="2"/>
      </rPr>
      <t>Dark Green with Modal,</t>
    </r>
    <r>
      <rPr>
        <sz val="11"/>
        <rFont val="Calibri"/>
        <family val="2"/>
      </rPr>
      <t xml:space="preserve"> Angrakha style, V Neck, thread work </t>
    </r>
  </si>
  <si>
    <t>Modal silk + South Cotton</t>
  </si>
  <si>
    <t>South Cotton</t>
  </si>
  <si>
    <r>
      <rPr>
        <sz val="11"/>
        <color rgb="FFFF0000"/>
        <rFont val="Calibri"/>
        <family val="2"/>
      </rPr>
      <t>Zed black</t>
    </r>
    <r>
      <rPr>
        <sz val="11"/>
        <color theme="1"/>
        <rFont val="Calibri"/>
        <family val="2"/>
      </rPr>
      <t>, Round neck, golden and pinki colour thread work</t>
    </r>
  </si>
  <si>
    <t>Organza</t>
  </si>
  <si>
    <t>Quarter sleeves Kurti + Dupatta</t>
  </si>
  <si>
    <t>Purple colour with pink floral print, V neck, kardana work on the neck line +Dupatta</t>
  </si>
  <si>
    <t>Dhoti pant</t>
  </si>
  <si>
    <t>red</t>
  </si>
  <si>
    <t>blue with multi colour</t>
  </si>
  <si>
    <t>yellow with multi colour</t>
  </si>
  <si>
    <t>harem pant</t>
  </si>
  <si>
    <t>multi colour patched</t>
  </si>
  <si>
    <r>
      <rPr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with White, pink, yellow Flower, Round Neck, Quarter sleeves + Dupatta</t>
    </r>
  </si>
  <si>
    <r>
      <rPr>
        <sz val="11"/>
        <color rgb="FFFF0000"/>
        <rFont val="Calibri"/>
        <family val="2"/>
      </rPr>
      <t>Mustard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 with Goldal Work, Benarasi Dupatta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</si>
  <si>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green leaves, Shirt collar</t>
    </r>
  </si>
  <si>
    <r>
      <rPr>
        <sz val="11"/>
        <color rgb="FFFF0000"/>
        <rFont val="Calibri"/>
        <family val="2"/>
      </rPr>
      <t>Orange</t>
    </r>
    <r>
      <rPr>
        <sz val="11"/>
        <color theme="1"/>
        <rFont val="Calibri"/>
        <family val="2"/>
      </rPr>
      <t xml:space="preserve"> with yellow leaves, Shirt collar</t>
    </r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</si>
  <si>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with different colour cloth patch , round neck, thread work on the neck line</t>
    </r>
  </si>
  <si>
    <r>
      <rPr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kurti with floral print , light threadwork in front</t>
    </r>
  </si>
  <si>
    <r>
      <rPr>
        <sz val="11"/>
        <color rgb="FFFF0000"/>
        <rFont val="Calibri"/>
        <family val="2"/>
      </rPr>
      <t>Steel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kurti , threadwork in front</t>
    </r>
  </si>
  <si>
    <t>puja</t>
  </si>
  <si>
    <t>Krishna(srijoni)</t>
  </si>
  <si>
    <t>begompuri</t>
  </si>
  <si>
    <t>Tupur Didi</t>
  </si>
  <si>
    <t>Payel</t>
  </si>
  <si>
    <t>XS</t>
  </si>
  <si>
    <t>Raw silk</t>
  </si>
  <si>
    <t xml:space="preserve">Round neck, Yellow colour kurti, Black Colour Ajrakh Print modal silk patch in front </t>
  </si>
  <si>
    <t>sujata</t>
  </si>
  <si>
    <t>Karunamoyee Jagotdhatri puja exhib(november)</t>
  </si>
  <si>
    <t>Carry Bags</t>
  </si>
  <si>
    <t>Ranjana</t>
  </si>
  <si>
    <t>ED park  customer</t>
  </si>
  <si>
    <t>Minu</t>
  </si>
  <si>
    <t>Sutapa Biswas</t>
  </si>
  <si>
    <t>Sunita Pramanik</t>
  </si>
  <si>
    <t>Sumita Goswami</t>
  </si>
  <si>
    <t>silk</t>
  </si>
  <si>
    <t>Bijita Roy</t>
  </si>
  <si>
    <t>Tripti</t>
  </si>
  <si>
    <t>Rituparna Das</t>
  </si>
  <si>
    <t>Saree</t>
  </si>
  <si>
    <t>Cotton Benarasi</t>
  </si>
  <si>
    <t>Asmita Saree Palace</t>
  </si>
  <si>
    <t>Nutan Fulia</t>
  </si>
  <si>
    <r>
      <rPr>
        <sz val="11"/>
        <color rgb="FFFF0000"/>
        <rFont val="Calibri"/>
        <family val="2"/>
      </rPr>
      <t>Chandan</t>
    </r>
    <r>
      <rPr>
        <sz val="11"/>
        <color theme="1"/>
        <rFont val="Calibri"/>
        <family val="2"/>
      </rPr>
      <t xml:space="preserve"> Colour Moslin with red border</t>
    </r>
  </si>
  <si>
    <r>
      <rPr>
        <sz val="11"/>
        <color rgb="FFFF0000"/>
        <rFont val="Calibri"/>
        <family val="2"/>
      </rPr>
      <t>Bottle Green</t>
    </r>
    <r>
      <rPr>
        <sz val="11"/>
        <color theme="1"/>
        <rFont val="Calibri"/>
        <family val="2"/>
      </rPr>
      <t xml:space="preserve"> light thin strips</t>
    </r>
  </si>
  <si>
    <t>Bombay Rayon</t>
  </si>
  <si>
    <r>
      <t xml:space="preserve">V Neck, </t>
    </r>
    <r>
      <rPr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Colour, Floral print and thread work at the neck line</t>
    </r>
  </si>
  <si>
    <r>
      <t xml:space="preserve">V Neck, </t>
    </r>
    <r>
      <rPr>
        <sz val="11"/>
        <color rgb="FFFF0000"/>
        <rFont val="Calibri"/>
        <family val="2"/>
      </rPr>
      <t>Bottle Green</t>
    </r>
    <r>
      <rPr>
        <sz val="11"/>
        <color theme="1"/>
        <rFont val="Calibri"/>
        <family val="2"/>
      </rPr>
      <t xml:space="preserve"> Colour, Floral print and thread work at the neck line</t>
    </r>
  </si>
  <si>
    <r>
      <t xml:space="preserve">V Neck, </t>
    </r>
    <r>
      <rPr>
        <sz val="11"/>
        <color rgb="FFFF0000"/>
        <rFont val="Calibri"/>
        <family val="2"/>
      </rPr>
      <t>Maroon-Rani-Orange</t>
    </r>
    <r>
      <rPr>
        <sz val="11"/>
        <color theme="1"/>
        <rFont val="Calibri"/>
        <family val="2"/>
      </rPr>
      <t xml:space="preserve"> print, and thread work at the neck line </t>
    </r>
  </si>
  <si>
    <r>
      <rPr>
        <sz val="11"/>
        <color rgb="FFFF0000"/>
        <rFont val="Calibri"/>
        <family val="2"/>
      </rPr>
      <t>Rani</t>
    </r>
    <r>
      <rPr>
        <sz val="11"/>
        <color theme="1"/>
        <rFont val="Calibri"/>
        <family val="2"/>
      </rPr>
      <t>, Shirt collar, Sleeveless, floral Print</t>
    </r>
  </si>
  <si>
    <r>
      <t xml:space="preserve">Round Neck, </t>
    </r>
    <r>
      <rPr>
        <sz val="11"/>
        <color rgb="FFFF0000"/>
        <rFont val="Calibri"/>
        <family val="2"/>
      </rPr>
      <t>Pink</t>
    </r>
    <r>
      <rPr>
        <sz val="11"/>
        <color theme="1"/>
        <rFont val="Calibri"/>
        <family val="2"/>
      </rPr>
      <t xml:space="preserve"> with White strip</t>
    </r>
  </si>
  <si>
    <r>
      <t xml:space="preserve">Round Neck, </t>
    </r>
    <r>
      <rPr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with White strip</t>
    </r>
  </si>
  <si>
    <r>
      <t xml:space="preserve">Round neck, </t>
    </r>
    <r>
      <rPr>
        <sz val="11"/>
        <color rgb="FFFF0000"/>
        <rFont val="Calibri"/>
        <family val="2"/>
      </rPr>
      <t>Gray-Maroon-Black</t>
    </r>
    <r>
      <rPr>
        <sz val="11"/>
        <color theme="1"/>
        <rFont val="Calibri"/>
        <family val="2"/>
      </rPr>
      <t xml:space="preserve"> colour with Ajrakh Patch</t>
    </r>
  </si>
  <si>
    <r>
      <t xml:space="preserve">Round neck, </t>
    </r>
    <r>
      <rPr>
        <sz val="11"/>
        <color rgb="FFFF0000"/>
        <rFont val="Calibri"/>
        <family val="2"/>
      </rPr>
      <t>Zed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Silver thread work at the neck line </t>
    </r>
  </si>
  <si>
    <r>
      <t xml:space="preserve">Round neck, </t>
    </r>
    <r>
      <rPr>
        <sz val="11"/>
        <color rgb="FFFF0000"/>
        <rFont val="Calibri"/>
        <family val="2"/>
      </rPr>
      <t>Wine</t>
    </r>
    <r>
      <rPr>
        <sz val="11"/>
        <color theme="1"/>
        <rFont val="Calibri"/>
        <family val="2"/>
      </rPr>
      <t xml:space="preserve"> colour,  all over white thread work</t>
    </r>
  </si>
  <si>
    <r>
      <t xml:space="preserve">V neck, </t>
    </r>
    <r>
      <rPr>
        <sz val="11"/>
        <color rgb="FFFF0000"/>
        <rFont val="Calibri"/>
        <family val="2"/>
      </rPr>
      <t>Lavender</t>
    </r>
    <r>
      <rPr>
        <sz val="11"/>
        <color theme="1"/>
        <rFont val="Calibri"/>
        <family val="2"/>
      </rPr>
      <t xml:space="preserve"> colour, thread and bits work at the neck line </t>
    </r>
  </si>
  <si>
    <r>
      <t xml:space="preserve">Round neck, </t>
    </r>
    <r>
      <rPr>
        <sz val="11"/>
        <color rgb="FFFF0000"/>
        <rFont val="Calibri"/>
        <family val="2"/>
      </rPr>
      <t>Orange</t>
    </r>
    <r>
      <rPr>
        <sz val="11"/>
        <color theme="1"/>
        <rFont val="Calibri"/>
        <family val="2"/>
      </rPr>
      <t xml:space="preserve"> colour with Bandhani print, thread work at the neck line </t>
    </r>
  </si>
  <si>
    <r>
      <t xml:space="preserve">Round with V neck, </t>
    </r>
    <r>
      <rPr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colour, thread and bits work at the neck line </t>
    </r>
  </si>
  <si>
    <r>
      <t xml:space="preserve">V Neck, </t>
    </r>
    <r>
      <rPr>
        <sz val="11"/>
        <color rgb="FFFF0000"/>
        <rFont val="Calibri"/>
        <family val="2"/>
      </rPr>
      <t>Wine</t>
    </r>
    <r>
      <rPr>
        <sz val="11"/>
        <color theme="1"/>
        <rFont val="Calibri"/>
        <family val="2"/>
      </rPr>
      <t xml:space="preserve"> colour, Floral Print and thread work at the neck line </t>
    </r>
  </si>
  <si>
    <r>
      <t xml:space="preserve">V Neck, </t>
    </r>
    <r>
      <rPr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Floral Print and thread work at the neck line </t>
    </r>
  </si>
  <si>
    <r>
      <t xml:space="preserve">V neck, </t>
    </r>
    <r>
      <rPr>
        <sz val="11"/>
        <color rgb="FFFF0000"/>
        <rFont val="Calibri"/>
        <family val="2"/>
      </rPr>
      <t>Magenta</t>
    </r>
    <r>
      <rPr>
        <sz val="11"/>
        <color theme="1"/>
        <rFont val="Calibri"/>
        <family val="2"/>
      </rPr>
      <t xml:space="preserve"> colour, Floral print, White thread work on the neck line</t>
    </r>
  </si>
  <si>
    <r>
      <t xml:space="preserve">Round neck, </t>
    </r>
    <r>
      <rPr>
        <sz val="11"/>
        <color rgb="FFFF0000"/>
        <rFont val="Calibri"/>
        <family val="2"/>
      </rPr>
      <t>Rani</t>
    </r>
    <r>
      <rPr>
        <sz val="11"/>
        <color theme="1"/>
        <rFont val="Calibri"/>
        <family val="2"/>
      </rPr>
      <t xml:space="preserve"> colour Black Ajrakh patch, thread work in front</t>
    </r>
  </si>
  <si>
    <r>
      <t xml:space="preserve">Round Neck, </t>
    </r>
    <r>
      <rPr>
        <sz val="11"/>
        <color rgb="FFFF0000"/>
        <rFont val="Calibri"/>
        <family val="2"/>
      </rPr>
      <t>Steel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>, Angrakha style kurti, light thread work in front</t>
    </r>
  </si>
  <si>
    <r>
      <t xml:space="preserve">V Neck, </t>
    </r>
    <r>
      <rPr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Different colour Floral Print, bites and thread work at the neck line </t>
    </r>
  </si>
  <si>
    <r>
      <t xml:space="preserve">V neck, </t>
    </r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 with white print, Light Thread work at the neck line</t>
    </r>
  </si>
  <si>
    <t>sleeveless Kurti</t>
  </si>
  <si>
    <r>
      <t xml:space="preserve">Round-V neck, </t>
    </r>
    <r>
      <rPr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colourful thread work in front </t>
    </r>
  </si>
  <si>
    <r>
      <t xml:space="preserve">V neck, </t>
    </r>
    <r>
      <rPr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Colour with floral print, All over KANTHA work</t>
    </r>
  </si>
  <si>
    <r>
      <t xml:space="preserve">Round Neck, </t>
    </r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 with Ajrakh print, White hacoba patch in front</t>
    </r>
  </si>
  <si>
    <t>Badol Chowdhury</t>
  </si>
  <si>
    <t>Exhibition jessorRoad HORI SHOVA(14Dec-15Dec)</t>
  </si>
  <si>
    <t>Titir Banerjee</t>
  </si>
  <si>
    <t>Debjani Sarkar</t>
  </si>
  <si>
    <t>Poulomi(hori sava)</t>
  </si>
  <si>
    <t>Kashi Bose Lane Exhib (Jan16,Jan17,Jan18,Jan19)</t>
  </si>
  <si>
    <t>Arinesh Banerjee</t>
  </si>
  <si>
    <t>Agamani2 Indira Moidan(10th Aug- 11th Aug)+chair</t>
  </si>
  <si>
    <t>Das vila (25th, 26th january)</t>
  </si>
  <si>
    <t>Puspita</t>
  </si>
  <si>
    <t>Shilp Saler (KBL)</t>
  </si>
  <si>
    <t>Aromita Saler (KBL)</t>
  </si>
  <si>
    <t>Moumita Organizer(KBL)</t>
  </si>
  <si>
    <t>Snikdha Saha</t>
  </si>
  <si>
    <t>Uma Datta</t>
  </si>
  <si>
    <t>Nisha</t>
  </si>
  <si>
    <t>Saujeeta</t>
  </si>
  <si>
    <t>Mala</t>
  </si>
  <si>
    <t>Nabamita</t>
  </si>
  <si>
    <t>ED Park Newtown</t>
  </si>
  <si>
    <t>Kashi Bose Lane</t>
  </si>
  <si>
    <t>Arpita saha</t>
  </si>
  <si>
    <t>Debi</t>
  </si>
  <si>
    <t>Friend</t>
  </si>
  <si>
    <t>Family</t>
  </si>
  <si>
    <t xml:space="preserve"> Sapoorji </t>
  </si>
  <si>
    <t>Bonhooghly</t>
  </si>
  <si>
    <t>Sompa(ownar)</t>
  </si>
  <si>
    <t>Indira Maidan</t>
  </si>
  <si>
    <t>Arunima</t>
  </si>
  <si>
    <t>Srijoni club</t>
  </si>
  <si>
    <t>Shompa</t>
  </si>
  <si>
    <t>Lake Town</t>
  </si>
  <si>
    <t>Hori Shova</t>
  </si>
  <si>
    <t>Poulomi</t>
  </si>
  <si>
    <t>BK Pal (13,14,15,16,17)march</t>
  </si>
  <si>
    <t>Light</t>
  </si>
  <si>
    <t>Laketown Exhibition (6th sep-8th sep)</t>
  </si>
  <si>
    <t>Danlop, Bonhoogly Exhibition (12th Jul - 14th Jul)</t>
  </si>
  <si>
    <t>Chetla Central Park(29th-30th-31th March)</t>
  </si>
  <si>
    <t>Satyam Fashion</t>
  </si>
  <si>
    <t>Jessore Road,Amarpally</t>
  </si>
  <si>
    <r>
      <rPr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Ajrakh print V neck , laces work at the neck line</t>
    </r>
  </si>
  <si>
    <r>
      <rPr>
        <sz val="11"/>
        <color rgb="FFFF0000"/>
        <rFont val="Calibri"/>
        <family val="2"/>
      </rPr>
      <t>Gray</t>
    </r>
    <r>
      <rPr>
        <sz val="11"/>
        <rFont val="Calibri"/>
        <family val="2"/>
      </rPr>
      <t xml:space="preserve">  Dabu print, sleeveless, All over print and light thread work </t>
    </r>
  </si>
  <si>
    <r>
      <rPr>
        <sz val="11"/>
        <color rgb="FFFF0000"/>
        <rFont val="Calibri"/>
        <family val="2"/>
      </rPr>
      <t xml:space="preserve">Purple </t>
    </r>
    <r>
      <rPr>
        <sz val="11"/>
        <color theme="1"/>
        <rFont val="Calibri"/>
        <family val="2"/>
      </rPr>
      <t>Ajrak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Print</t>
    </r>
    <r>
      <rPr>
        <sz val="11"/>
        <rFont val="Calibri"/>
        <family val="2"/>
      </rPr>
      <t xml:space="preserve"> sleeveless, All over print and light thread work </t>
    </r>
  </si>
  <si>
    <r>
      <rPr>
        <sz val="11"/>
        <color rgb="FFFF0000"/>
        <rFont val="Calibri"/>
        <family val="2"/>
      </rPr>
      <t xml:space="preserve">Black </t>
    </r>
    <r>
      <rPr>
        <sz val="11"/>
        <color theme="1"/>
        <rFont val="Calibri"/>
        <family val="2"/>
      </rPr>
      <t>Ajrakh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Print</t>
    </r>
    <r>
      <rPr>
        <sz val="11"/>
        <rFont val="Calibri"/>
        <family val="2"/>
      </rPr>
      <t xml:space="preserve"> sleeveless, All over print and light thread work </t>
    </r>
  </si>
  <si>
    <r>
      <rPr>
        <sz val="11"/>
        <color rgb="FFFF0000"/>
        <rFont val="Calibri"/>
        <family val="2"/>
      </rPr>
      <t xml:space="preserve">Rani </t>
    </r>
    <r>
      <rPr>
        <sz val="11"/>
        <color theme="1"/>
        <rFont val="Calibri"/>
        <family val="2"/>
      </rPr>
      <t>Colour, Shirt Collar, Sleevless Co-ord set, With Floral Print</t>
    </r>
  </si>
  <si>
    <r>
      <rPr>
        <sz val="11"/>
        <color rgb="FFFF0000"/>
        <rFont val="Calibri"/>
        <family val="2"/>
      </rPr>
      <t>Rani</t>
    </r>
    <r>
      <rPr>
        <sz val="11"/>
        <color theme="1"/>
        <rFont val="Calibri"/>
        <family val="2"/>
      </rPr>
      <t xml:space="preserve"> Colour, Shirt Collar, Sleevless Co-ord set, With Floral Print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</si>
  <si>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Shirt Collar, Sleevless Co-ord set, With Floral Print</t>
    </r>
  </si>
  <si>
    <r>
      <rPr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All over Ajrak patch with thread work in front, Angrakha Style</t>
    </r>
  </si>
  <si>
    <t>Noodle kurti &amp; Jacket</t>
  </si>
  <si>
    <r>
      <t xml:space="preserve">Blazer collar </t>
    </r>
    <r>
      <rPr>
        <sz val="11"/>
        <color rgb="FFFF0000"/>
        <rFont val="Calibri"/>
        <family val="2"/>
      </rPr>
      <t>Rani</t>
    </r>
    <r>
      <rPr>
        <sz val="11"/>
        <color rgb="FF0070C0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Top &amp; </t>
    </r>
    <r>
      <rPr>
        <sz val="11"/>
        <color rgb="FFFF0000"/>
        <rFont val="Calibri"/>
        <family val="2"/>
      </rPr>
      <t>Bottle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pencil skirt</t>
    </r>
  </si>
  <si>
    <r>
      <rPr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Kalamkari Noodle Kurti With</t>
    </r>
    <r>
      <rPr>
        <sz val="11"/>
        <color rgb="FFFF0000"/>
        <rFont val="Calibri"/>
        <family val="2"/>
      </rPr>
      <t xml:space="preserve"> Off White</t>
    </r>
    <r>
      <rPr>
        <sz val="11"/>
        <color theme="1"/>
        <rFont val="Calibri"/>
        <family val="2"/>
      </rPr>
      <t xml:space="preserve"> Hacoba Jacket</t>
    </r>
  </si>
  <si>
    <r>
      <rPr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colour, Round Neck, Lace work at the neck line,Dhakai Jamdani, Quarter Sleeves,  </t>
    </r>
  </si>
  <si>
    <t>Jamdani Cotton</t>
  </si>
  <si>
    <r>
      <rPr>
        <sz val="11"/>
        <color rgb="FFFF0000"/>
        <rFont val="Calibri"/>
        <family val="2"/>
      </rPr>
      <t>Yelllow</t>
    </r>
    <r>
      <rPr>
        <sz val="11"/>
        <color theme="1"/>
        <rFont val="Calibri"/>
        <family val="2"/>
      </rPr>
      <t xml:space="preserve"> colour with all over green print, Round neck light thread work in front</t>
    </r>
  </si>
  <si>
    <r>
      <rPr>
        <sz val="11"/>
        <color rgb="FFFF0000"/>
        <rFont val="Calibri"/>
        <family val="2"/>
      </rPr>
      <t xml:space="preserve">Black-Maroon </t>
    </r>
    <r>
      <rPr>
        <sz val="11"/>
        <color theme="1"/>
        <rFont val="Calibri"/>
        <family val="2"/>
      </rPr>
      <t>colour, V neck, light thread work in front</t>
    </r>
  </si>
  <si>
    <r>
      <rPr>
        <sz val="11"/>
        <color rgb="FFFF0000"/>
        <rFont val="Calibri"/>
        <family val="2"/>
      </rPr>
      <t xml:space="preserve">Black </t>
    </r>
    <r>
      <rPr>
        <sz val="11"/>
        <color theme="1"/>
        <rFont val="Calibri"/>
        <family val="2"/>
      </rPr>
      <t>colour, Round V neck, light thread work in front, kalamkari patch at the nackline, patch work in front</t>
    </r>
  </si>
  <si>
    <r>
      <rPr>
        <sz val="11"/>
        <color rgb="FFFF0000"/>
        <rFont val="Calibri"/>
        <family val="2"/>
      </rPr>
      <t>Blue-white</t>
    </r>
    <r>
      <rPr>
        <sz val="11"/>
        <color theme="1"/>
        <rFont val="Calibri"/>
        <family val="2"/>
      </rPr>
      <t xml:space="preserve"> batik print with Maroon Ajrak patch in front, light thread work, V nack</t>
    </r>
  </si>
  <si>
    <r>
      <rPr>
        <sz val="11"/>
        <color rgb="FFFF0000"/>
        <rFont val="Calibri"/>
        <family val="2"/>
      </rPr>
      <t>Black -Gray</t>
    </r>
    <r>
      <rPr>
        <sz val="11"/>
        <color theme="1"/>
        <rFont val="Calibri"/>
        <family val="2"/>
      </rPr>
      <t xml:space="preserve"> Angrakha Style, Dabu patch, Fish and folwer Aplic work in front</t>
    </r>
  </si>
  <si>
    <r>
      <rPr>
        <sz val="11"/>
        <color rgb="FFFF0000"/>
        <rFont val="Calibri"/>
        <family val="2"/>
      </rPr>
      <t xml:space="preserve">Black </t>
    </r>
    <r>
      <rPr>
        <sz val="11"/>
        <rFont val="Calibri"/>
        <family val="2"/>
      </rPr>
      <t>Ajrak kurti</t>
    </r>
    <r>
      <rPr>
        <sz val="11"/>
        <color theme="1"/>
        <rFont val="Calibri"/>
        <family val="2"/>
      </rPr>
      <t xml:space="preserve"> with Maroon Ajrak patch in front, light thread work, V nack, Maroon Ajrak patch work at the neckline</t>
    </r>
  </si>
  <si>
    <r>
      <rPr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colour, Ajrak print, V neck, thread work at the neckline</t>
    </r>
  </si>
  <si>
    <t>Ajit Kumar Das</t>
  </si>
  <si>
    <t>Dhonekhali Cotton</t>
  </si>
  <si>
    <t>Dhanekhali Bazar,Hooghly</t>
  </si>
  <si>
    <r>
      <rPr>
        <sz val="11"/>
        <color rgb="FFFF0000"/>
        <rFont val="Calibri"/>
        <family val="2"/>
      </rPr>
      <t>Blue &amp; Orange</t>
    </r>
    <r>
      <rPr>
        <sz val="11"/>
        <color theme="1"/>
        <rFont val="Calibri"/>
        <family val="2"/>
      </rPr>
      <t xml:space="preserve"> check print saree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</si>
  <si>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Rainbow colours</t>
    </r>
  </si>
  <si>
    <r>
      <rPr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with Red velvat border,Red colour light thread work</t>
    </r>
  </si>
  <si>
    <r>
      <rPr>
        <sz val="11"/>
        <color rgb="FFFF0000"/>
        <rFont val="Calibri"/>
        <family val="2"/>
      </rPr>
      <t>Red-Black-White</t>
    </r>
    <r>
      <rPr>
        <sz val="11"/>
        <color theme="1"/>
        <rFont val="Calibri"/>
        <family val="2"/>
      </rPr>
      <t xml:space="preserve"> checks with Red Border</t>
    </r>
  </si>
  <si>
    <r>
      <rPr>
        <sz val="11"/>
        <color rgb="FFFF0000"/>
        <rFont val="Calibri"/>
        <family val="2"/>
      </rPr>
      <t>Pink-Black-White</t>
    </r>
    <r>
      <rPr>
        <sz val="11"/>
        <color theme="1"/>
        <rFont val="Calibri"/>
        <family val="2"/>
      </rPr>
      <t xml:space="preserve"> checks with Pink Border</t>
    </r>
  </si>
  <si>
    <r>
      <rPr>
        <sz val="11"/>
        <color rgb="FFFF0000"/>
        <rFont val="Calibri"/>
        <family val="2"/>
      </rPr>
      <t xml:space="preserve">White &amp; Red </t>
    </r>
    <r>
      <rPr>
        <sz val="11"/>
        <color theme="1"/>
        <rFont val="Calibri"/>
        <family val="2"/>
      </rPr>
      <t>small checks, Red border, red &amp; Yellow colour light thread work</t>
    </r>
  </si>
  <si>
    <r>
      <rPr>
        <sz val="11"/>
        <color rgb="FFFF0000"/>
        <rFont val="Calibri"/>
        <family val="2"/>
      </rPr>
      <t>White &amp; SkyBlue</t>
    </r>
    <r>
      <rPr>
        <sz val="11"/>
        <color theme="1"/>
        <rFont val="Calibri"/>
        <family val="2"/>
      </rPr>
      <t xml:space="preserve"> small checks, SkyBlue Velvet border, Yellow colour light thread work</t>
    </r>
  </si>
  <si>
    <r>
      <rPr>
        <sz val="11"/>
        <color rgb="FFFF0000"/>
        <rFont val="Calibri"/>
        <family val="2"/>
      </rPr>
      <t xml:space="preserve">Green &amp; Red </t>
    </r>
    <r>
      <rPr>
        <sz val="11"/>
        <color theme="1"/>
        <rFont val="Calibri"/>
        <family val="2"/>
      </rPr>
      <t>small checks, Red Velvet border, Yellow colour thread work</t>
    </r>
  </si>
  <si>
    <t>DumDumPark Cust</t>
  </si>
  <si>
    <t>Shamoli Sarkar</t>
  </si>
  <si>
    <t>Chatla Central prk</t>
  </si>
  <si>
    <t>Rinki Pal</t>
  </si>
  <si>
    <t>Chatla Customer</t>
  </si>
  <si>
    <t>Shompa Nag</t>
  </si>
  <si>
    <t>Debjani</t>
  </si>
  <si>
    <t>Piu</t>
  </si>
  <si>
    <t>Sankari Banik</t>
  </si>
  <si>
    <t>Multi Colour, Angrakha style, V Neck, thread work in front KATHA WORK</t>
  </si>
  <si>
    <t>MITHU</t>
  </si>
  <si>
    <t>Nilanjana</t>
  </si>
  <si>
    <t>Derri</t>
  </si>
  <si>
    <t>Rimpa Pal</t>
  </si>
  <si>
    <t>*</t>
  </si>
  <si>
    <t xml:space="preserve">Susmita Bhowmik </t>
  </si>
  <si>
    <t xml:space="preserve">Pompa Roy </t>
  </si>
  <si>
    <t>Baishali</t>
  </si>
  <si>
    <t>Moushumi Laketown</t>
  </si>
  <si>
    <t>Anindita Chakraborty</t>
  </si>
  <si>
    <t>Mithu</t>
  </si>
  <si>
    <t>Moushumi</t>
  </si>
  <si>
    <t>Behala Borisha Club(11th April-14th April)</t>
  </si>
  <si>
    <t xml:space="preserve">Maroon </t>
  </si>
  <si>
    <t>Silk</t>
  </si>
  <si>
    <r>
      <rPr>
        <sz val="11"/>
        <color rgb="FFFF0000"/>
        <rFont val="Calibri"/>
        <family val="2"/>
      </rPr>
      <t xml:space="preserve">Blue-Ochre Yellow </t>
    </r>
    <r>
      <rPr>
        <sz val="11"/>
        <rFont val="Calibri"/>
        <family val="2"/>
      </rPr>
      <t>colour, Round Neck, Krishna Print</t>
    </r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</si>
  <si>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 Top Sleeveless, V Neck, thread work at the neck line, </t>
    </r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Skirt Thread work at the bottom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</si>
  <si>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Round Neck, </t>
    </r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patch with heavy Thread work in front</t>
    </r>
  </si>
  <si>
    <r>
      <rPr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Round neck Kurti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</si>
  <si>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Printed, thin patch with thread work at the neck line, Angrakha Style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</si>
  <si>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Kurti V neck, Maroon patch both side and hands, </t>
    </r>
    <r>
      <rPr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patch at the back, Angrakha style</t>
    </r>
  </si>
  <si>
    <r>
      <rPr>
        <sz val="11"/>
        <color rgb="FFFF0000"/>
        <rFont val="Calibri"/>
        <family val="2"/>
      </rPr>
      <t>Musterd Yellow</t>
    </r>
    <r>
      <rPr>
        <sz val="11"/>
        <color theme="1"/>
        <rFont val="Calibri"/>
        <family val="2"/>
      </rPr>
      <t>, Bandni Print, Round Neck, Thread Work in front</t>
    </r>
  </si>
  <si>
    <r>
      <rPr>
        <sz val="11"/>
        <color rgb="FFFF0000"/>
        <rFont val="Calibri"/>
        <family val="2"/>
      </rPr>
      <t>OFF White</t>
    </r>
    <r>
      <rPr>
        <sz val="11"/>
        <color theme="1"/>
        <rFont val="Calibri"/>
        <family val="2"/>
      </rPr>
      <t>, V Neck, Floral Print, Sleeveless</t>
    </r>
  </si>
  <si>
    <r>
      <rPr>
        <sz val="11"/>
        <color rgb="FFFF0000"/>
        <rFont val="Calibri"/>
        <family val="2"/>
      </rPr>
      <t xml:space="preserve">light Blue </t>
    </r>
    <r>
      <rPr>
        <sz val="11"/>
        <color theme="1"/>
        <rFont val="Calibri"/>
        <family val="2"/>
      </rPr>
      <t xml:space="preserve">colour with </t>
    </r>
    <r>
      <rPr>
        <sz val="11"/>
        <color rgb="FFFF0000"/>
        <rFont val="Calibri"/>
        <family val="2"/>
      </rPr>
      <t>dark blue</t>
    </r>
    <r>
      <rPr>
        <sz val="11"/>
        <color theme="1"/>
        <rFont val="Calibri"/>
        <family val="2"/>
      </rPr>
      <t xml:space="preserve"> patch, thread work</t>
    </r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</si>
  <si>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Ajrakh Patch at thr neckline, mirror work &amp;thread work</t>
    </r>
  </si>
  <si>
    <r>
      <rPr>
        <sz val="11"/>
        <color rgb="FFFF0000"/>
        <rFont val="Calibri"/>
        <family val="2"/>
      </rPr>
      <t>Off White</t>
    </r>
    <r>
      <rPr>
        <sz val="11"/>
        <color theme="1"/>
        <rFont val="Calibri"/>
        <family val="2"/>
      </rPr>
      <t>, Shirt collar, Sleeveless</t>
    </r>
  </si>
  <si>
    <r>
      <rPr>
        <sz val="11"/>
        <color rgb="FFFF0000"/>
        <rFont val="Calibri"/>
        <family val="2"/>
      </rPr>
      <t>Pink</t>
    </r>
    <r>
      <rPr>
        <sz val="11"/>
        <color theme="1"/>
        <rFont val="Calibri"/>
        <family val="2"/>
      </rPr>
      <t>, V neck, Thredwork at the neckline, Floral Print</t>
    </r>
  </si>
  <si>
    <r>
      <rPr>
        <sz val="11"/>
        <color rgb="FFFF0000"/>
        <rFont val="Calibri"/>
        <family val="2"/>
      </rPr>
      <t>SEA Green</t>
    </r>
    <r>
      <rPr>
        <sz val="11"/>
        <color theme="1"/>
        <rFont val="Calibri"/>
        <family val="2"/>
      </rPr>
      <t>, V neck, Thredwork at the neckline,  Floral Print</t>
    </r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</si>
  <si>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colour,V neck Big white floral print, Thread work at the neckline</t>
    </r>
  </si>
  <si>
    <r>
      <rPr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dhuti pant</t>
    </r>
  </si>
  <si>
    <r>
      <rPr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colour,V neck, All Over KATHA work</t>
    </r>
  </si>
  <si>
    <r>
      <rPr>
        <sz val="11"/>
        <color rgb="FFFF0000"/>
        <rFont val="Calibri"/>
        <family val="2"/>
      </rPr>
      <t>Lavender</t>
    </r>
    <r>
      <rPr>
        <sz val="11"/>
        <color theme="1"/>
        <rFont val="Calibri"/>
        <family val="2"/>
      </rPr>
      <t xml:space="preserve"> colour,V neck, All Over KATHA work</t>
    </r>
  </si>
  <si>
    <r>
      <rPr>
        <sz val="11"/>
        <color rgb="FFFF0000"/>
        <rFont val="Calibri"/>
        <family val="2"/>
      </rPr>
      <t>Pink</t>
    </r>
    <r>
      <rPr>
        <sz val="11"/>
        <color theme="1"/>
        <rFont val="Calibri"/>
        <family val="2"/>
      </rPr>
      <t>, Round Neck, Printed</t>
    </r>
  </si>
  <si>
    <r>
      <rPr>
        <sz val="12"/>
        <color rgb="FFFF0000"/>
        <rFont val="Aptos Narrow"/>
        <family val="2"/>
        <scheme val="minor"/>
      </rPr>
      <t>Yellow</t>
    </r>
    <r>
      <rPr>
        <sz val="12"/>
        <color theme="1"/>
        <rFont val="Aptos Narrow"/>
        <family val="2"/>
        <scheme val="minor"/>
      </rPr>
      <t>, Round Neck, Printed</t>
    </r>
  </si>
  <si>
    <r>
      <rPr>
        <sz val="12"/>
        <color rgb="FFFF0000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>, Round Neck, Printed</t>
    </r>
  </si>
  <si>
    <r>
      <rPr>
        <sz val="12"/>
        <color rgb="FFFF0000"/>
        <rFont val="Aptos Narrow"/>
        <family val="2"/>
        <scheme val="minor"/>
      </rPr>
      <t>Black</t>
    </r>
    <r>
      <rPr>
        <sz val="12"/>
        <color theme="1"/>
        <rFont val="Aptos Narrow"/>
        <family val="2"/>
        <scheme val="minor"/>
      </rPr>
      <t>, Round Neck, Printed</t>
    </r>
  </si>
  <si>
    <t>Hoymonti Biswas</t>
  </si>
  <si>
    <t>Subhra</t>
  </si>
  <si>
    <t>Tonima Ganguli</t>
  </si>
  <si>
    <t>Shyani</t>
  </si>
  <si>
    <t>Poulami Basu</t>
  </si>
  <si>
    <r>
      <t xml:space="preserve">Round neck, </t>
    </r>
    <r>
      <rPr>
        <sz val="11"/>
        <color rgb="FFFF0000"/>
        <rFont val="Calibri"/>
        <family val="2"/>
      </rPr>
      <t>Mustard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Yellow</t>
    </r>
    <r>
      <rPr>
        <sz val="11"/>
        <rFont val="Calibri"/>
        <family val="2"/>
      </rPr>
      <t xml:space="preserve"> colour, Quarter sleeves,golden thread work in front </t>
    </r>
  </si>
  <si>
    <t>Arpita Behala</t>
  </si>
  <si>
    <t>Sumana</t>
  </si>
  <si>
    <t>Behala cust</t>
  </si>
  <si>
    <t>Sukla</t>
  </si>
  <si>
    <t>S.Das</t>
  </si>
  <si>
    <t>Papia</t>
  </si>
  <si>
    <t>Annanya</t>
  </si>
  <si>
    <t>Sayantani</t>
  </si>
  <si>
    <t>Samohita Mondal</t>
  </si>
  <si>
    <t>Behala</t>
  </si>
  <si>
    <t>Moushumi Nag</t>
  </si>
  <si>
    <t>Moumita</t>
  </si>
  <si>
    <t xml:space="preserve">Arpita </t>
  </si>
  <si>
    <t>Moumita Das-sapoo</t>
  </si>
  <si>
    <t>I.Bose</t>
  </si>
  <si>
    <t>Srijoni Club Exibition Rent</t>
  </si>
  <si>
    <t>Priyodorshini 555 Kolkata</t>
  </si>
  <si>
    <t>Kaaruk</t>
  </si>
  <si>
    <t>Kaaruk Fashion</t>
  </si>
  <si>
    <t>Hridaypur, Barasat</t>
  </si>
  <si>
    <t>Ajrakh skirt</t>
  </si>
  <si>
    <t>Black skirt with maroon &amp;offwhite  at the bottom line. All over village print</t>
  </si>
  <si>
    <t>OffWhite skirt with maroon &amp; Black  at the bottom line. All over Leaf print</t>
  </si>
  <si>
    <t>Ajrakh Long Shrug</t>
  </si>
  <si>
    <t>OffWhite with all over Maroon and Black print</t>
  </si>
  <si>
    <t>Black with maroon print</t>
  </si>
  <si>
    <t>Maroon  &amp; Black Ajrakh Dress, V Neck, Black Patch at the neck line</t>
  </si>
  <si>
    <t>OffWhite all over Black temple Ajrakh Dress, V Neck, Black Patch at the neck line</t>
  </si>
  <si>
    <t>straight Pant</t>
  </si>
  <si>
    <t>Round neck Beige colour Rani-Yellow-Green Print with Rani straightPant, Quarter sleeves</t>
  </si>
  <si>
    <t>Garment</t>
  </si>
  <si>
    <t>Bongo Nari</t>
  </si>
  <si>
    <t>Ruby Hospital</t>
  </si>
  <si>
    <t>Acropolic mall</t>
  </si>
  <si>
    <t>Dhoti set</t>
  </si>
  <si>
    <t>white and blue-Black Zaari work</t>
  </si>
  <si>
    <t>Tulip Set</t>
  </si>
  <si>
    <t>Black colour set firoza and zaari thread work</t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</si>
  <si>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 Floral Print, Reverse Collar With side String</t>
    </r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</si>
  <si>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 Floral Print, Reverse Collar With side String</t>
    </r>
  </si>
  <si>
    <r>
      <rPr>
        <sz val="11"/>
        <color rgb="FFFF0000"/>
        <rFont val="Calibri"/>
        <family val="2"/>
      </rPr>
      <t>Ochre Yellow</t>
    </r>
    <r>
      <rPr>
        <sz val="11"/>
        <color theme="1"/>
        <rFont val="Calibri"/>
        <family val="2"/>
      </rPr>
      <t xml:space="preserve"> Rapid Long shrug, White colour inside, shrug is in ochre colour with Blue colour print, Round neck sleeveless inside and 3 quarter sleeves shrug</t>
    </r>
  </si>
  <si>
    <t>Noodle Kurti</t>
  </si>
  <si>
    <t>black-red Noodle Kurti</t>
  </si>
  <si>
    <t>Multi colour Noodle Kurti all over thread and bites work</t>
  </si>
  <si>
    <r>
      <rPr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Colour All over Floral Print</t>
    </r>
  </si>
  <si>
    <r>
      <rPr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 All over Floral Print</t>
    </r>
  </si>
  <si>
    <r>
      <rPr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 All over Floral Print</t>
    </r>
  </si>
  <si>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Katha work in front</t>
    </r>
  </si>
  <si>
    <r>
      <t xml:space="preserve">Blazer collar top, </t>
    </r>
    <r>
      <rPr>
        <sz val="11"/>
        <color rgb="FFFF0000"/>
        <rFont val="Calibri"/>
        <family val="2"/>
      </rPr>
      <t>white-orange-green</t>
    </r>
    <r>
      <rPr>
        <sz val="11"/>
        <color theme="1"/>
        <rFont val="Calibri"/>
        <family val="2"/>
      </rPr>
      <t xml:space="preserve"> printed pencil skirt,</t>
    </r>
  </si>
  <si>
    <r>
      <rPr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colour, Shirt collar, Dabu print , pencil skirt</t>
    </r>
  </si>
  <si>
    <t>Halter Neck Dress</t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</si>
  <si>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maroon &amp; white print, Ajrakh</t>
    </r>
  </si>
  <si>
    <r>
      <rPr>
        <sz val="11"/>
        <color rgb="FFFF0000"/>
        <rFont val="Calibri"/>
        <family val="2"/>
      </rPr>
      <t>SeaGreen</t>
    </r>
    <r>
      <rPr>
        <sz val="11"/>
        <color theme="1"/>
        <rFont val="Calibri"/>
        <family val="2"/>
      </rPr>
      <t xml:space="preserve"> dress with pink, green &amp; white flower print, Rapid</t>
    </r>
  </si>
  <si>
    <t>Jamdani Dress</t>
  </si>
  <si>
    <t>OFFWhite colour with black &amp;orange, Glass sleeves</t>
  </si>
  <si>
    <t>Dhaki Jamdani</t>
  </si>
  <si>
    <t>OFFWhite colour with blue &amp; maroon, Glass sleeves</t>
  </si>
  <si>
    <t>Mashru</t>
  </si>
  <si>
    <r>
      <t xml:space="preserve">V Neck , </t>
    </r>
    <r>
      <rPr>
        <sz val="11"/>
        <color rgb="FFFF0000"/>
        <rFont val="Calibri"/>
        <family val="2"/>
      </rPr>
      <t>Pink</t>
    </r>
    <r>
      <rPr>
        <sz val="11"/>
        <color theme="1"/>
        <rFont val="Calibri"/>
        <family val="2"/>
      </rPr>
      <t xml:space="preserve"> colour Mashru top</t>
    </r>
  </si>
  <si>
    <r>
      <rPr>
        <sz val="11"/>
        <color rgb="FFFF0000"/>
        <rFont val="Calibri"/>
        <family val="2"/>
      </rPr>
      <t>Olive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with white flower print, Rapid, </t>
    </r>
  </si>
  <si>
    <r>
      <t xml:space="preserve">Shirt, </t>
    </r>
    <r>
      <rPr>
        <sz val="11"/>
        <color rgb="FFFF0000"/>
        <rFont val="Calibri"/>
        <family val="2"/>
      </rPr>
      <t>Pesta</t>
    </r>
    <r>
      <rPr>
        <sz val="11"/>
        <color theme="1"/>
        <rFont val="Calibri"/>
        <family val="2"/>
      </rPr>
      <t xml:space="preserve"> Colour</t>
    </r>
  </si>
  <si>
    <t>Sompa(Ownar)</t>
  </si>
  <si>
    <t>chiffon</t>
  </si>
  <si>
    <t>Satin</t>
  </si>
  <si>
    <t>Jump Suit</t>
  </si>
  <si>
    <t>S</t>
  </si>
  <si>
    <t>Rayon</t>
  </si>
  <si>
    <t>Pant</t>
  </si>
  <si>
    <t>pant</t>
  </si>
  <si>
    <t>Imported</t>
  </si>
  <si>
    <t>Half co-ord set</t>
  </si>
  <si>
    <r>
      <t xml:space="preserve">Round Neck T-Shirt, </t>
    </r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oversize crop top</t>
    </r>
  </si>
  <si>
    <r>
      <t>Round Neck top,</t>
    </r>
    <r>
      <rPr>
        <sz val="11"/>
        <color rgb="FFFF0000"/>
        <rFont val="Calibri"/>
        <family val="2"/>
      </rPr>
      <t xml:space="preserve"> Sky Blue</t>
    </r>
    <r>
      <rPr>
        <sz val="11"/>
        <color theme="1"/>
        <rFont val="Calibri"/>
        <family val="2"/>
      </rPr>
      <t xml:space="preserve"> &amp;white Strips Colour, crop top</t>
    </r>
  </si>
  <si>
    <r>
      <t xml:space="preserve">Round Neck top, </t>
    </r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&amp;white Strips Colour, crop top</t>
    </r>
  </si>
  <si>
    <r>
      <rPr>
        <sz val="11"/>
        <color rgb="FFFF0000"/>
        <rFont val="Calibri"/>
        <family val="2"/>
      </rPr>
      <t>Army Green</t>
    </r>
    <r>
      <rPr>
        <sz val="11"/>
        <color theme="1"/>
        <rFont val="Calibri"/>
        <family val="2"/>
      </rPr>
      <t xml:space="preserve"> colour, Full jump suit</t>
    </r>
  </si>
  <si>
    <r>
      <t xml:space="preserve">4 Pockets, light </t>
    </r>
    <r>
      <rPr>
        <sz val="11"/>
        <color rgb="FFFF0000"/>
        <rFont val="Calibri"/>
        <family val="2"/>
      </rPr>
      <t>Sea Green</t>
    </r>
  </si>
  <si>
    <r>
      <t>4 Pockets, light</t>
    </r>
    <r>
      <rPr>
        <sz val="11"/>
        <color rgb="FFFF0000"/>
        <rFont val="Calibri"/>
        <family val="2"/>
      </rPr>
      <t xml:space="preserve"> Pink</t>
    </r>
  </si>
  <si>
    <r>
      <rPr>
        <sz val="11"/>
        <color rgb="FFFF0000"/>
        <rFont val="Calibri"/>
        <family val="2"/>
      </rPr>
      <t>Dark Blue</t>
    </r>
    <r>
      <rPr>
        <sz val="11"/>
        <color theme="1"/>
        <rFont val="Calibri"/>
        <family val="2"/>
      </rPr>
      <t xml:space="preserve"> colour solid colour co-ord set</t>
    </r>
  </si>
  <si>
    <r>
      <t xml:space="preserve">Sleevless top and Half Pant, </t>
    </r>
    <r>
      <rPr>
        <sz val="11"/>
        <color rgb="FFFF0000"/>
        <rFont val="Calibri"/>
        <family val="2"/>
      </rPr>
      <t>Off White</t>
    </r>
  </si>
  <si>
    <r>
      <t>Sleevless top ,</t>
    </r>
    <r>
      <rPr>
        <sz val="11"/>
        <color rgb="FFFF0000"/>
        <rFont val="Calibri"/>
        <family val="2"/>
      </rPr>
      <t xml:space="preserve"> Off White</t>
    </r>
  </si>
  <si>
    <t>gift</t>
  </si>
  <si>
    <t>Plastic sheet</t>
  </si>
  <si>
    <t>product packing bags</t>
  </si>
  <si>
    <t>Big Bags (6)</t>
  </si>
  <si>
    <t>Bill Book + sticker</t>
  </si>
  <si>
    <t>Rani colour, Vneck, Quarter sleeves  + stright pant</t>
  </si>
  <si>
    <t>3 piece</t>
  </si>
  <si>
    <r>
      <t xml:space="preserve">Round Neck, Quarter Sleeves, </t>
    </r>
    <r>
      <rPr>
        <sz val="11"/>
        <color rgb="FFFF0000"/>
        <rFont val="Calibri"/>
        <family val="2"/>
      </rPr>
      <t>Mustard</t>
    </r>
    <r>
      <rPr>
        <sz val="11"/>
        <color theme="1"/>
        <rFont val="Calibri"/>
        <family val="2"/>
      </rPr>
      <t xml:space="preserve"> Yellow, leheriya Print</t>
    </r>
  </si>
  <si>
    <t>Red</t>
  </si>
  <si>
    <t>BLACK colour, round neck, Maroon patch with light Thread work in front</t>
  </si>
  <si>
    <t>WHITE colour, round neck, Nevy Blue patch with light Thread work in front</t>
  </si>
  <si>
    <t>BLACK colour, Katha work all over with thread work in front, kalamtari patch at the neckline</t>
  </si>
  <si>
    <t>White with pink thread work in front, Quarter Sleeves</t>
  </si>
  <si>
    <t>Indigo colour, Quarter Sleeves, white thread work with mirror</t>
  </si>
  <si>
    <t>Modal Silk</t>
  </si>
  <si>
    <t>Linen Cotton</t>
  </si>
  <si>
    <t>Arpita Basdroni</t>
  </si>
  <si>
    <t>Mithu Pal Basdroni</t>
  </si>
  <si>
    <r>
      <rPr>
        <sz val="11"/>
        <color rgb="FFFF0000"/>
        <rFont val="Calibri"/>
        <family val="2"/>
      </rPr>
      <t>Indigo</t>
    </r>
    <r>
      <rPr>
        <sz val="11"/>
        <color theme="1"/>
        <rFont val="Calibri"/>
        <family val="2"/>
      </rPr>
      <t xml:space="preserve"> </t>
    </r>
    <r>
      <rPr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Dabu Long shrug, Yellow colour inside, shrug with Blue colour print, Round neck sleeveless inside and 3 quarter sleeves shrug</t>
    </r>
  </si>
  <si>
    <t>Ambalika Basdroni</t>
  </si>
  <si>
    <t>Dipti Roy Basdroni</t>
  </si>
  <si>
    <t>Ratna Sarkar Basdroni</t>
  </si>
  <si>
    <t>P Bhattachariyay Basdroni</t>
  </si>
  <si>
    <t>Amrita Basdroni</t>
  </si>
  <si>
    <t>Arpita Ray Basdroni</t>
  </si>
  <si>
    <t>Sabana Basdroni</t>
  </si>
  <si>
    <t>Payal Day Basdroni</t>
  </si>
  <si>
    <t>Poulami Basdroni</t>
  </si>
  <si>
    <t>Nupur Basdroni</t>
  </si>
  <si>
    <t>Moutusi (Gubli didi)</t>
  </si>
  <si>
    <t>Chabi Das Chatla</t>
  </si>
  <si>
    <t>Bansdroni Brahmapur club(16th July-20thJuly)</t>
  </si>
  <si>
    <t>Sagota Saha</t>
  </si>
  <si>
    <t>Lords Bakery More Padatik(22th,23th,24th,25th August)</t>
  </si>
  <si>
    <t>Wrapper Skirt Top</t>
  </si>
  <si>
    <r>
      <rPr>
        <b/>
        <sz val="11"/>
        <color rgb="FFFF0000"/>
        <rFont val="Calibri"/>
        <family val="2"/>
      </rPr>
      <t>Orange</t>
    </r>
    <r>
      <rPr>
        <sz val="11"/>
        <color theme="1"/>
        <rFont val="Calibri"/>
        <family val="2"/>
      </rPr>
      <t xml:space="preserve"> &amp;White sleevelesstop with Orange wrapper Skirt with light Black thread work</t>
    </r>
  </si>
  <si>
    <r>
      <rPr>
        <b/>
        <sz val="11"/>
        <color rgb="FFFF0000"/>
        <rFont val="Calibri"/>
        <family val="2"/>
      </rPr>
      <t>SeaGreen</t>
    </r>
    <r>
      <rPr>
        <sz val="11"/>
        <color theme="1"/>
        <rFont val="Calibri"/>
        <family val="2"/>
      </rPr>
      <t xml:space="preserve"> &amp;White sleevelesstop with SeaGreen wrapper Skirt with light Black thread work</t>
    </r>
  </si>
  <si>
    <r>
      <rPr>
        <b/>
        <sz val="11"/>
        <color rgb="FFFF0000"/>
        <rFont val="Calibri"/>
        <family val="2"/>
      </rPr>
      <t>Gray</t>
    </r>
    <r>
      <rPr>
        <sz val="11"/>
        <color theme="1"/>
        <rFont val="Calibri"/>
        <family val="2"/>
      </rPr>
      <t xml:space="preserve"> &amp;White sleevelesstop, Round neck with Gray wrapper Skirt with light Black thread work</t>
    </r>
  </si>
  <si>
    <t>Carry Bags(200)</t>
  </si>
  <si>
    <r>
      <rPr>
        <b/>
        <sz val="11"/>
        <color rgb="FFFF0000"/>
        <rFont val="Calibri"/>
        <family val="2"/>
      </rPr>
      <t>DarkGreen</t>
    </r>
    <r>
      <rPr>
        <sz val="11"/>
        <color theme="1"/>
        <rFont val="Calibri"/>
        <family val="2"/>
      </rPr>
      <t xml:space="preserve">  full length Sleeveless offwhite threadwork</t>
    </r>
  </si>
  <si>
    <r>
      <rPr>
        <b/>
        <sz val="11"/>
        <color rgb="FFFF0000"/>
        <rFont val="Calibri"/>
        <family val="2"/>
      </rPr>
      <t>Magenta</t>
    </r>
    <r>
      <rPr>
        <sz val="11"/>
        <color theme="1"/>
        <rFont val="Calibri"/>
        <family val="2"/>
      </rPr>
      <t xml:space="preserve"> sleevelesstop Angrakha patern with Magenta pencil skirt 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</si>
  <si>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Angrakha Pattarn red patch with Black Aplic work</t>
    </r>
  </si>
  <si>
    <r>
      <rPr>
        <b/>
        <sz val="11"/>
        <color rgb="FFFF0000"/>
        <rFont val="Calibri"/>
        <family val="2"/>
      </rPr>
      <t>DarkGreen</t>
    </r>
    <r>
      <rPr>
        <sz val="11"/>
        <color theme="1"/>
        <rFont val="Calibri"/>
        <family val="2"/>
      </rPr>
      <t xml:space="preserve"> with Ajrakh patch in front, Round neck,light thread work</t>
    </r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</si>
  <si>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 All over white colour Print </t>
    </r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</si>
  <si>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Benarasi V neck kurti all over benarasi work </t>
    </r>
  </si>
  <si>
    <r>
      <rPr>
        <b/>
        <sz val="11"/>
        <color rgb="FFFF0000"/>
        <rFont val="Calibri"/>
        <family val="2"/>
      </rPr>
      <t>Rust</t>
    </r>
    <r>
      <rPr>
        <sz val="11"/>
        <color theme="1"/>
        <rFont val="Calibri"/>
        <family val="2"/>
      </rPr>
      <t xml:space="preserve"> colour V neck, Modal Ajrakh patch on Shoulder With mirror</t>
    </r>
  </si>
  <si>
    <r>
      <rPr>
        <b/>
        <sz val="11"/>
        <color rgb="FFFF0000"/>
        <rFont val="Calibri"/>
        <family val="2"/>
      </rPr>
      <t>Rust</t>
    </r>
    <r>
      <rPr>
        <sz val="11"/>
        <color theme="1"/>
        <rFont val="Calibri"/>
        <family val="2"/>
      </rPr>
      <t xml:space="preserve"> colour Round neck, Modal Ajrakh patch on both side With mirror</t>
    </r>
  </si>
  <si>
    <r>
      <rPr>
        <b/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round neck, silver bits &amp; pink floral thread work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</si>
  <si>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round neck, silver bits, pink &amp; green floral thread work</t>
    </r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</si>
  <si>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kurti, round neck, thin modal patch with mirror work</t>
    </r>
  </si>
  <si>
    <r>
      <rPr>
        <b/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with red print, Shirt collar, Sleeveless, wooden button</t>
    </r>
  </si>
  <si>
    <r>
      <t xml:space="preserve">Blazer collar </t>
    </r>
    <r>
      <rPr>
        <b/>
        <sz val="12"/>
        <color rgb="FFFF0000"/>
        <rFont val="Aptos Narrow"/>
        <family val="2"/>
        <scheme val="minor"/>
      </rPr>
      <t>Black</t>
    </r>
    <r>
      <rPr>
        <sz val="12"/>
        <color rgb="FF0070C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Top &amp; </t>
    </r>
    <r>
      <rPr>
        <b/>
        <sz val="12"/>
        <color rgb="FFFF0000"/>
        <rFont val="Aptos Narrow"/>
        <family val="2"/>
        <scheme val="minor"/>
      </rPr>
      <t>Maroon</t>
    </r>
    <r>
      <rPr>
        <sz val="12"/>
        <color theme="1"/>
        <rFont val="Aptos Narrow"/>
        <family val="2"/>
        <scheme val="minor"/>
      </rPr>
      <t xml:space="preserve"> pencil skirt,Maroon Ajrakh print </t>
    </r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</si>
  <si>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colour, round neck, Red thread work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</si>
  <si>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brown print, V neck</t>
    </r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</si>
  <si>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colour, Angrakha style, Multiple type cloth patch 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</si>
  <si>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Angrakha style, Multiple type cloth patch </t>
    </r>
  </si>
  <si>
    <t>7XL</t>
  </si>
  <si>
    <r>
      <t xml:space="preserve">Blazer collar </t>
    </r>
    <r>
      <rPr>
        <b/>
        <sz val="12"/>
        <color rgb="FFFF0000"/>
        <rFont val="Aptos Narrow"/>
        <family val="2"/>
        <scheme val="minor"/>
      </rPr>
      <t>Black</t>
    </r>
    <r>
      <rPr>
        <sz val="12"/>
        <color rgb="FF0070C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Top &amp; </t>
    </r>
    <r>
      <rPr>
        <b/>
        <sz val="12"/>
        <color rgb="FFFF0000"/>
        <rFont val="Aptos Narrow"/>
        <family val="2"/>
        <scheme val="minor"/>
      </rPr>
      <t>Blue</t>
    </r>
    <r>
      <rPr>
        <sz val="12"/>
        <color theme="1"/>
        <rFont val="Aptos Narrow"/>
        <family val="2"/>
        <scheme val="minor"/>
      </rPr>
      <t xml:space="preserve"> pencil skirt,Maroon Ajrakh print </t>
    </r>
  </si>
  <si>
    <t>Padatik</t>
  </si>
  <si>
    <t>padatik</t>
  </si>
  <si>
    <t>3 Piece</t>
  </si>
  <si>
    <t xml:space="preserve">3 piece </t>
  </si>
  <si>
    <t>Joyshree Das Padatik</t>
  </si>
  <si>
    <t xml:space="preserve">U Neck, Golden backside Green &amp; White Print in front SAHOJ PATH </t>
  </si>
  <si>
    <t>Sonali bhattacharya</t>
  </si>
  <si>
    <t>Kajol Chattarjee</t>
  </si>
  <si>
    <t>Sukanya Sahu Padatik</t>
  </si>
  <si>
    <t>Arpita Das</t>
  </si>
  <si>
    <t>Barnali Sen</t>
  </si>
  <si>
    <t>Moushumi Padatik</t>
  </si>
  <si>
    <t>Putul Karmakar Padatik</t>
  </si>
  <si>
    <t>Uma Padatik</t>
  </si>
  <si>
    <t>R. Mukherjee</t>
  </si>
  <si>
    <t>Laketown Exhib rent (3th April-6th April)</t>
  </si>
  <si>
    <t>Mousumi Behala chondi.</t>
  </si>
  <si>
    <t>Kalpana Saha Behala chondi.</t>
  </si>
  <si>
    <r>
      <rPr>
        <b/>
        <sz val="11"/>
        <color rgb="FFFF0000"/>
        <rFont val="Calibri"/>
        <family val="2"/>
      </rPr>
      <t>Zed black</t>
    </r>
    <r>
      <rPr>
        <b/>
        <sz val="11"/>
        <color theme="1"/>
        <rFont val="Calibri"/>
        <family val="2"/>
      </rPr>
      <t xml:space="preserve">, </t>
    </r>
    <r>
      <rPr>
        <sz val="11"/>
        <color theme="1"/>
        <rFont val="Calibri"/>
        <family val="2"/>
      </rPr>
      <t>V neck, multi colour thread work, Kashmiri style</t>
    </r>
  </si>
  <si>
    <r>
      <rPr>
        <b/>
        <sz val="11"/>
        <color rgb="FFFF0000"/>
        <rFont val="Calibri"/>
        <family val="2"/>
      </rPr>
      <t xml:space="preserve">Dark Blue </t>
    </r>
    <r>
      <rPr>
        <sz val="11"/>
        <color theme="1"/>
        <rFont val="Calibri"/>
        <family val="2"/>
      </rPr>
      <t>Colour with multicolour thread Work in front, Seagreen Benarasi Dupatta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</si>
  <si>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colour, Angrakha style, white colour very light work</t>
    </r>
  </si>
  <si>
    <r>
      <rPr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Angrakha style, V Neck, </t>
    </r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>-</t>
    </r>
    <r>
      <rPr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Jamdani work</t>
    </r>
  </si>
  <si>
    <t>Flex Cotton</t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</si>
  <si>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 Maroon Ajrakh patch at neckline and Pockets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</si>
  <si>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colour,  Maroon Ajrakh patch at neckline and Pockets</t>
    </r>
  </si>
  <si>
    <t xml:space="preserve">Kaaruk </t>
  </si>
  <si>
    <t>Black skirt with maroon &amp;offwhite  at the bottom line. All over KOLKA print</t>
  </si>
  <si>
    <t>Black skirt with maroon &amp;offwhite  at the bottom line. All over ROUND WHEEL LIKE print</t>
  </si>
  <si>
    <t>Maroon skirt with Black &amp;offwhite  at the bottom line. All over Big Leaf print</t>
  </si>
  <si>
    <t>Maroon skirt with Black &amp;offwhite  at the bottom line. All over Mapple Leaf print</t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</si>
  <si>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Round neck, Ajrakh patch in frant</t>
    </r>
  </si>
  <si>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colour, Round neck, Ajrakh patch in frant</t>
    </r>
  </si>
  <si>
    <t>Tiasha</t>
  </si>
  <si>
    <t>Laketown</t>
  </si>
  <si>
    <r>
      <rPr>
        <b/>
        <sz val="11"/>
        <color rgb="FFFF0000"/>
        <rFont val="Calibri"/>
        <family val="2"/>
      </rPr>
      <t>Robin Blue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colour with white havy thread work</t>
    </r>
  </si>
  <si>
    <t>Organizer</t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</si>
  <si>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All over Ajrak patch with thread work in front, Angrakha Style</t>
    </r>
  </si>
  <si>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Kurti, Round Neck, work with  fabric colours</t>
    </r>
  </si>
  <si>
    <t>Ipshita</t>
  </si>
  <si>
    <t>Annaya</t>
  </si>
  <si>
    <t>Khama Mitra</t>
  </si>
  <si>
    <t>Anushee</t>
  </si>
  <si>
    <t>Sangita</t>
  </si>
  <si>
    <t>Deboshreeta</t>
  </si>
  <si>
    <t>A. Ghosh</t>
  </si>
  <si>
    <t>Soma Roychoudhury</t>
  </si>
  <si>
    <t>Shompa (Kanta ja)</t>
  </si>
  <si>
    <t>Laketown Exhibition (5th sep-7th sep) + chair(10/day)</t>
  </si>
  <si>
    <t>Karunamoyee Jagotdhatri puja exhib(28oct-2nd Nov)</t>
  </si>
  <si>
    <t>Behala Chonditala (29th Augus &amp; 30th August)</t>
  </si>
  <si>
    <t>Basdroni shakti Shangh Exhib(19thsept-22nd sept)</t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</si>
  <si>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V neck, Modal patch &amp; Mirror work at the neck line, Modal patch at front and sleeves</t>
    </r>
  </si>
  <si>
    <r>
      <rPr>
        <b/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colour, V neck, Modal patch &amp; Mirror work at the neck line, Modal patch at front and sleeves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</si>
  <si>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Kurti,  Round neck, Multi colour heavy thread work</t>
    </r>
  </si>
  <si>
    <r>
      <rPr>
        <b/>
        <sz val="11"/>
        <color rgb="FFFF0000"/>
        <rFont val="Calibri"/>
        <family val="2"/>
      </rPr>
      <t>Robin Blue</t>
    </r>
    <r>
      <rPr>
        <sz val="11"/>
        <color theme="1"/>
        <rFont val="Calibri"/>
        <family val="2"/>
      </rPr>
      <t xml:space="preserve"> colour with white havy thread work</t>
    </r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</si>
  <si>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 with white havy thread work</t>
    </r>
  </si>
  <si>
    <r>
      <rPr>
        <b/>
        <sz val="11"/>
        <color rgb="FFFF0000"/>
        <rFont val="Calibri"/>
        <family val="2"/>
      </rPr>
      <t xml:space="preserve">Purple </t>
    </r>
    <r>
      <rPr>
        <sz val="11"/>
        <color theme="1"/>
        <rFont val="Calibri"/>
        <family val="2"/>
      </rPr>
      <t>colour with white havy thread work</t>
    </r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</si>
  <si>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colour, Round neck, Modal patch in front &amp; sleeves, green colour light thread work</t>
    </r>
  </si>
  <si>
    <r>
      <rPr>
        <b/>
        <sz val="11"/>
        <color rgb="FFFF0000"/>
        <rFont val="Calibri"/>
        <family val="2"/>
      </rPr>
      <t>Orange</t>
    </r>
    <r>
      <rPr>
        <sz val="11"/>
        <color theme="1"/>
        <rFont val="Calibri"/>
        <family val="2"/>
      </rPr>
      <t xml:space="preserve"> colour, Round neck, All over modal Patch in front</t>
    </r>
  </si>
  <si>
    <r>
      <rPr>
        <b/>
        <sz val="11"/>
        <color rgb="FFFF0000"/>
        <rFont val="Calibri"/>
        <family val="2"/>
      </rPr>
      <t>Gray</t>
    </r>
    <r>
      <rPr>
        <sz val="11"/>
        <color theme="1"/>
        <rFont val="Calibri"/>
        <family val="2"/>
      </rPr>
      <t xml:space="preserve"> colour, pink &amp; Rani thread work at front, V neck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</si>
  <si>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colour, Angrakha style, Multiple type cloth patch </t>
    </r>
  </si>
  <si>
    <r>
      <rPr>
        <b/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 with all over white print, V neck  lace work at neck line</t>
    </r>
  </si>
  <si>
    <r>
      <rPr>
        <b/>
        <sz val="11"/>
        <color rgb="FFFF0000"/>
        <rFont val="Calibri"/>
        <family val="2"/>
      </rPr>
      <t xml:space="preserve">Navy Blue </t>
    </r>
    <r>
      <rPr>
        <sz val="11"/>
        <color theme="1"/>
        <rFont val="Calibri"/>
        <family val="2"/>
      </rPr>
      <t xml:space="preserve"> with all over white print, V neck  lace work at neck line</t>
    </r>
  </si>
  <si>
    <r>
      <rPr>
        <b/>
        <sz val="11"/>
        <color rgb="FFFF0000"/>
        <rFont val="Calibri"/>
        <family val="2"/>
      </rPr>
      <t xml:space="preserve">Army Green </t>
    </r>
    <r>
      <rPr>
        <sz val="11"/>
        <color theme="1"/>
        <rFont val="Calibri"/>
        <family val="2"/>
      </rPr>
      <t xml:space="preserve"> with all over white print, V neck  lace work at neck line</t>
    </r>
  </si>
  <si>
    <r>
      <rPr>
        <b/>
        <sz val="11"/>
        <color rgb="FFFF0000"/>
        <rFont val="Calibri"/>
        <family val="2"/>
      </rPr>
      <t>Army Green</t>
    </r>
    <r>
      <rPr>
        <sz val="11"/>
        <color theme="1"/>
        <rFont val="Calibri"/>
        <family val="2"/>
      </rPr>
      <t xml:space="preserve">  with all over white print, V neck  lace work at neck line</t>
    </r>
  </si>
  <si>
    <r>
      <rPr>
        <b/>
        <sz val="11"/>
        <color rgb="FFFF0000"/>
        <rFont val="Calibri"/>
        <family val="2"/>
      </rPr>
      <t>DarkGreen</t>
    </r>
    <r>
      <rPr>
        <sz val="11"/>
        <color theme="1"/>
        <rFont val="Calibri"/>
        <family val="2"/>
      </rPr>
      <t xml:space="preserve">  with all over white &amp; red print, V neck  lace work at neck line</t>
    </r>
  </si>
  <si>
    <r>
      <rPr>
        <b/>
        <sz val="11"/>
        <color rgb="FFFF0000"/>
        <rFont val="Calibri"/>
        <family val="2"/>
      </rPr>
      <t xml:space="preserve">Sky Blue </t>
    </r>
    <r>
      <rPr>
        <sz val="11"/>
        <rFont val="Calibri"/>
        <family val="2"/>
      </rPr>
      <t>colour</t>
    </r>
    <r>
      <rPr>
        <sz val="11"/>
        <color theme="1"/>
        <rFont val="Calibri"/>
        <family val="2"/>
      </rPr>
      <t>, holter neck, sleevless , light thread work infront</t>
    </r>
  </si>
  <si>
    <t>Georgette</t>
  </si>
  <si>
    <t>Xl</t>
  </si>
  <si>
    <t>Malai Cotton Kurti, model silk border, Magenta colour with model silk print border, V neck, one side pocket, 3 quarter sleeves, both sides slit at the end</t>
  </si>
  <si>
    <t>Malai Cotton Kurti, Bottle green colour with model silk print border, V neck, one side pocket, 3 quarter sleeves, both sides slit at the end</t>
  </si>
  <si>
    <t>Black Cotton Benarasi</t>
  </si>
  <si>
    <t>SkyBlue Cotton Benarasi</t>
  </si>
  <si>
    <t>Robin Blue Cotton Benarasi</t>
  </si>
  <si>
    <t>Pink Cotton Benarasi</t>
  </si>
  <si>
    <t>Red Cotton Benarasi</t>
  </si>
  <si>
    <t>Rani Cotton Benarasi</t>
  </si>
  <si>
    <t>khadi Cotton+Silk</t>
  </si>
  <si>
    <t>Noodle top, Ajrakh Cotton -INDIGO</t>
  </si>
  <si>
    <t>Noodle top, Ajrakh Cotton- OFFWHITE</t>
  </si>
  <si>
    <t>Noodle top, Ajrakh Cotton- BLACK</t>
  </si>
  <si>
    <t>Noodle top, Ajrakh Cotton-MAROON</t>
  </si>
  <si>
    <t>Khadi Cotton</t>
  </si>
  <si>
    <t>Yellow with green red  print, Sleeveless , V neck, light thread work at neck line, same print stright pant</t>
  </si>
  <si>
    <r>
      <rPr>
        <b/>
        <sz val="11"/>
        <color rgb="FFFF0000"/>
        <rFont val="Calibri"/>
        <family val="2"/>
      </rPr>
      <t>BLECK</t>
    </r>
    <r>
      <rPr>
        <sz val="11"/>
        <color theme="1"/>
        <rFont val="Calibri"/>
        <family val="2"/>
      </rPr>
      <t xml:space="preserve"> dress, Squre neck, full gown</t>
    </r>
  </si>
  <si>
    <r>
      <rPr>
        <b/>
        <sz val="11"/>
        <color rgb="FFFF0000"/>
        <rFont val="Calibri"/>
        <family val="2"/>
      </rPr>
      <t xml:space="preserve">White and red </t>
    </r>
    <r>
      <rPr>
        <sz val="11"/>
        <color theme="1"/>
        <rFont val="Calibri"/>
        <family val="2"/>
      </rPr>
      <t>print, Sleeveless , round neck, light thread work in front, red  with white print stright pant</t>
    </r>
  </si>
  <si>
    <r>
      <rPr>
        <b/>
        <sz val="11"/>
        <color rgb="FFFF0000"/>
        <rFont val="Calibri"/>
        <family val="2"/>
      </rPr>
      <t>Red and Pink</t>
    </r>
    <r>
      <rPr>
        <sz val="11"/>
        <color theme="1"/>
        <rFont val="Calibri"/>
        <family val="2"/>
      </rPr>
      <t xml:space="preserve"> Flower print, Sleeveless , round neck, light thread work in front, same print stright pant</t>
    </r>
  </si>
  <si>
    <r>
      <rPr>
        <b/>
        <sz val="11"/>
        <color rgb="FFFF0000"/>
        <rFont val="Calibri"/>
        <family val="2"/>
      </rPr>
      <t>Dark Green</t>
    </r>
    <r>
      <rPr>
        <sz val="11"/>
        <color theme="1"/>
        <rFont val="Calibri"/>
        <family val="2"/>
      </rPr>
      <t xml:space="preserve"> with yellow &amp; Pink flower print, Sleeveless, V neck, Lace and thread work at the neck line, Yellow stright pant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</si>
  <si>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yellow &amp; Pink flower print, Sleeveless, V neck, Lace and thread work at the neck line, Pink stright pant</t>
    </r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</si>
  <si>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with White print, Quarter Sleeves, V neck, Lace and thread work at the neck line, Same colour stright pant</t>
    </r>
  </si>
  <si>
    <r>
      <rPr>
        <b/>
        <sz val="11"/>
        <color rgb="FFFF0000"/>
        <rFont val="Calibri"/>
        <family val="2"/>
      </rPr>
      <t>Green and White</t>
    </r>
    <r>
      <rPr>
        <sz val="11"/>
        <color theme="1"/>
        <rFont val="Calibri"/>
        <family val="2"/>
      </rPr>
      <t xml:space="preserve"> Flower print, Sleeveless , round neck, light thread work in front, same print stright pant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</si>
  <si>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sleevelesstop Angrakha patern with Red pencil skirt </t>
    </r>
  </si>
  <si>
    <t>Teal Blue Dress white thread work, Quarter Sleeves, Round neck</t>
  </si>
  <si>
    <t>Sky Blue colour with white print, V Neck, leace work at the neck line</t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</si>
  <si>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colour,round neck, Ajrakh patch in front with mirror work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</si>
  <si>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V neck, white thread work with mirror work in front</t>
    </r>
  </si>
  <si>
    <r>
      <rPr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V neck, white lace work and white patch in front</t>
    </r>
  </si>
  <si>
    <t>Sakti Sangha</t>
  </si>
  <si>
    <t>sakti sangha</t>
  </si>
  <si>
    <t>Rajashree</t>
  </si>
  <si>
    <t>Khaddi Cotton</t>
  </si>
  <si>
    <t>R. Kundu</t>
  </si>
  <si>
    <r>
      <t xml:space="preserve">Round neck, </t>
    </r>
    <r>
      <rPr>
        <b/>
        <sz val="11"/>
        <color rgb="FFFF0000"/>
        <rFont val="Calibri"/>
        <family val="2"/>
      </rPr>
      <t>Pink-Green</t>
    </r>
    <r>
      <rPr>
        <sz val="11"/>
        <color theme="1"/>
        <rFont val="Calibri"/>
        <family val="2"/>
      </rPr>
      <t xml:space="preserve"> colour south Cotton</t>
    </r>
  </si>
  <si>
    <t>Swaraswati</t>
  </si>
  <si>
    <t>Arpita sikti sangha</t>
  </si>
  <si>
    <r>
      <rPr>
        <b/>
        <sz val="11"/>
        <color rgb="FFFF0000"/>
        <rFont val="Calibri"/>
        <family val="2"/>
      </rPr>
      <t>Ochre Yellow</t>
    </r>
    <r>
      <rPr>
        <sz val="11"/>
        <color theme="1"/>
        <rFont val="Calibri"/>
        <family val="2"/>
      </rPr>
      <t xml:space="preserve"> colour, Maroon Modal &amp;Cotton Patch, Light thread work</t>
    </r>
  </si>
  <si>
    <t>Arpita Sakti Sangha</t>
  </si>
  <si>
    <t>Naegish Parvin</t>
  </si>
  <si>
    <t>Mohamaya Saha</t>
  </si>
  <si>
    <t>Boho Dress</t>
  </si>
  <si>
    <t xml:space="preserve">Trisha </t>
  </si>
  <si>
    <t>Sanchita</t>
  </si>
  <si>
    <t>Susmita</t>
  </si>
  <si>
    <t>Alo Majumder</t>
  </si>
  <si>
    <r>
      <rPr>
        <sz val="11"/>
        <color rgb="FFFF0000"/>
        <rFont val="Calibri"/>
        <family val="2"/>
      </rPr>
      <t xml:space="preserve">Red, </t>
    </r>
    <r>
      <rPr>
        <sz val="11"/>
        <rFont val="Calibri"/>
        <family val="2"/>
      </rPr>
      <t>print on white colour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Dress with short shrug, sleeveless inside and 3 quarter sleeves short shrug</t>
    </r>
  </si>
  <si>
    <r>
      <rPr>
        <sz val="11"/>
        <color rgb="FFFF0000"/>
        <rFont val="Calibri"/>
        <family val="2"/>
      </rPr>
      <t xml:space="preserve">Red,  </t>
    </r>
    <r>
      <rPr>
        <sz val="11"/>
        <rFont val="Calibri"/>
        <family val="2"/>
      </rPr>
      <t>print on white colour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Dress with short shrug, sleeveless inside and 3 quarter sleeves short shrug</t>
    </r>
  </si>
  <si>
    <t>Gargi Chakraborty</t>
  </si>
  <si>
    <t>Soma Di</t>
  </si>
  <si>
    <t>Karu</t>
  </si>
  <si>
    <t>Tiuhina Biswas</t>
  </si>
  <si>
    <t>Tuhina Biswas</t>
  </si>
  <si>
    <t xml:space="preserve">Mamon </t>
  </si>
  <si>
    <t>S.Pathak</t>
  </si>
  <si>
    <t>Sravasti De</t>
  </si>
  <si>
    <t>Surangana</t>
  </si>
  <si>
    <t>Rita Majumdar</t>
  </si>
  <si>
    <t>S.Mahanty</t>
  </si>
  <si>
    <t>S.Mohanty</t>
  </si>
  <si>
    <t>Anukul Dresses</t>
  </si>
  <si>
    <t>Sodhpur</t>
  </si>
  <si>
    <t>Ridhi Sidhi Fashion</t>
  </si>
  <si>
    <t>cotton</t>
  </si>
  <si>
    <r>
      <rPr>
        <b/>
        <sz val="11"/>
        <color rgb="FFFF0000"/>
        <rFont val="Calibri"/>
        <family val="2"/>
      </rPr>
      <t xml:space="preserve">Peach </t>
    </r>
    <r>
      <rPr>
        <sz val="11"/>
        <rFont val="Calibri"/>
        <family val="2"/>
      </rPr>
      <t>Colour</t>
    </r>
    <r>
      <rPr>
        <sz val="11"/>
        <color theme="1"/>
        <rFont val="Calibri"/>
        <family val="2"/>
      </rPr>
      <t xml:space="preserve"> with print, Quarter Sleeves, V neck, Lace and thread work at the neck line, Pink colour stright pant</t>
    </r>
  </si>
  <si>
    <r>
      <rPr>
        <b/>
        <sz val="11"/>
        <color rgb="FFFF0000"/>
        <rFont val="Calibri"/>
        <family val="2"/>
      </rPr>
      <t xml:space="preserve">White </t>
    </r>
    <r>
      <rPr>
        <sz val="11"/>
        <rFont val="Calibri"/>
        <family val="2"/>
      </rPr>
      <t>Colour</t>
    </r>
    <r>
      <rPr>
        <sz val="11"/>
        <color theme="1"/>
        <rFont val="Calibri"/>
        <family val="2"/>
      </rPr>
      <t xml:space="preserve"> with Multicolour Flower print, Quarter Sleeves, V neck, Lace and thread work at the neck line, Pink colour stright pant</t>
    </r>
  </si>
  <si>
    <r>
      <rPr>
        <b/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Kurti ,Black Ajrekh print in front with light mirror work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</si>
  <si>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Kurti ,White Ajrekh print in front with light mirror work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</si>
  <si>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Gray Thread work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</si>
  <si>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White Print, Pink Batik patch in front, V neck, light thread and lace work in front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</si>
  <si>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with White Print, Black Batik patch in front, V neck, light thread and lace work in front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</si>
  <si>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with White Print, Black Batik patch in front, V neck, light thread and lace work in front</t>
    </r>
  </si>
  <si>
    <r>
      <rPr>
        <b/>
        <sz val="11"/>
        <color rgb="FFFF0000"/>
        <rFont val="Calibri"/>
        <family val="2"/>
      </rPr>
      <t>Lavender</t>
    </r>
    <r>
      <rPr>
        <sz val="11"/>
        <color theme="1"/>
        <rFont val="Calibri"/>
        <family val="2"/>
      </rPr>
      <t xml:space="preserve"> colour,Round neck, White colour Print, light thread work in front</t>
    </r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</si>
  <si>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colour,Round neck, White colour Print, light thread work in front</t>
    </r>
  </si>
  <si>
    <r>
      <rPr>
        <b/>
        <sz val="11"/>
        <color rgb="FFFF0000"/>
        <rFont val="Calibri"/>
        <family val="2"/>
      </rPr>
      <t>Dark Green</t>
    </r>
    <r>
      <rPr>
        <sz val="11"/>
        <color theme="1"/>
        <rFont val="Calibri"/>
        <family val="2"/>
      </rPr>
      <t xml:space="preserve"> with yellow Batik patch at the neck line, Puffed Sleeves, V neck, Durga Print in front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</si>
  <si>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with Black Batik patch at the neck line, Puffed Sleeves, V neck, Durga Print in front</t>
    </r>
  </si>
  <si>
    <t>Stoll</t>
  </si>
  <si>
    <r>
      <rPr>
        <b/>
        <sz val="11"/>
        <color rgb="FFFF0000"/>
        <rFont val="Calibri"/>
        <family val="2"/>
      </rPr>
      <t>DarkGreen</t>
    </r>
    <r>
      <rPr>
        <sz val="11"/>
        <color theme="1"/>
        <rFont val="Calibri"/>
        <family val="2"/>
      </rPr>
      <t xml:space="preserve"> with Ajrakh patch in front, Round neck,light thread &amp; mirror work, Modal Dupatta, Maroon Stright Pant </t>
    </r>
  </si>
  <si>
    <t>co-ord set</t>
  </si>
  <si>
    <r>
      <rPr>
        <b/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>, Ajrakh print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</si>
  <si>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>, Ajrakh print</t>
    </r>
  </si>
  <si>
    <r>
      <rPr>
        <b/>
        <sz val="11"/>
        <color rgb="FFFF0000"/>
        <rFont val="Calibri"/>
        <family val="2"/>
      </rPr>
      <t>Sea Green</t>
    </r>
    <r>
      <rPr>
        <sz val="11"/>
        <color theme="1"/>
        <rFont val="Calibri"/>
        <family val="2"/>
      </rPr>
      <t xml:space="preserve"> colour, Shirt coller, White floral print all over</t>
    </r>
  </si>
  <si>
    <r>
      <rPr>
        <b/>
        <sz val="11"/>
        <color rgb="FFFF0000"/>
        <rFont val="Calibri"/>
        <family val="2"/>
      </rPr>
      <t>Mustard Yellow</t>
    </r>
    <r>
      <rPr>
        <sz val="11"/>
        <color theme="1"/>
        <rFont val="Calibri"/>
        <family val="2"/>
      </rPr>
      <t xml:space="preserve"> colour, Shirt coller, White floral print all over</t>
    </r>
  </si>
  <si>
    <r>
      <rPr>
        <b/>
        <sz val="11"/>
        <color rgb="FFFF0000"/>
        <rFont val="Calibri"/>
        <family val="2"/>
      </rPr>
      <t xml:space="preserve">Gray + Pesta Green </t>
    </r>
    <r>
      <rPr>
        <sz val="11"/>
        <color theme="1"/>
        <rFont val="Calibri"/>
        <family val="2"/>
      </rPr>
      <t xml:space="preserve">colour, Light jamdani work, 3 shell infrant, puffy sleeves </t>
    </r>
  </si>
  <si>
    <r>
      <rPr>
        <b/>
        <sz val="11"/>
        <color rgb="FFFF0000"/>
        <rFont val="Calibri"/>
        <family val="2"/>
      </rPr>
      <t>Red + Green</t>
    </r>
    <r>
      <rPr>
        <sz val="11"/>
        <color theme="1"/>
        <rFont val="Calibri"/>
        <family val="2"/>
      </rPr>
      <t xml:space="preserve"> colour, Light jamdani work, 3 shell in front, puffy sleeves </t>
    </r>
  </si>
  <si>
    <r>
      <rPr>
        <b/>
        <sz val="11"/>
        <color rgb="FFFF0000"/>
        <rFont val="Calibri"/>
        <family val="2"/>
      </rPr>
      <t>Mustard Yellow</t>
    </r>
    <r>
      <rPr>
        <sz val="11"/>
        <color theme="1"/>
        <rFont val="Calibri"/>
        <family val="2"/>
      </rPr>
      <t xml:space="preserve"> colour, Shirt coller, Brown and white strips, White thread work in front</t>
    </r>
  </si>
  <si>
    <r>
      <rPr>
        <b/>
        <sz val="11"/>
        <color rgb="FFFF0000"/>
        <rFont val="Calibri"/>
        <family val="2"/>
      </rPr>
      <t xml:space="preserve">Maroon </t>
    </r>
    <r>
      <rPr>
        <sz val="11"/>
        <color theme="1"/>
        <rFont val="Calibri"/>
        <family val="2"/>
      </rPr>
      <t>colour, Shirt coller, Black and white strips, White thread work in front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</si>
  <si>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 with heavy white thread work</t>
    </r>
  </si>
  <si>
    <r>
      <rPr>
        <b/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colour with heavy white thread work</t>
    </r>
  </si>
  <si>
    <t>Chiffon</t>
  </si>
  <si>
    <r>
      <t xml:space="preserve">Sleevless, Round neck, </t>
    </r>
    <r>
      <rPr>
        <b/>
        <sz val="11"/>
        <color rgb="FFFF0000"/>
        <rFont val="Calibri"/>
        <family val="2"/>
      </rPr>
      <t>Black-Blue-Maroon</t>
    </r>
  </si>
  <si>
    <r>
      <t>Sleevless, Round neck,</t>
    </r>
    <r>
      <rPr>
        <b/>
        <sz val="11"/>
        <color rgb="FFFF0000"/>
        <rFont val="Calibri"/>
        <family val="2"/>
      </rPr>
      <t xml:space="preserve"> Black-Blue-Olive</t>
    </r>
  </si>
  <si>
    <r>
      <t xml:space="preserve">Sleevless, Round neck, </t>
    </r>
    <r>
      <rPr>
        <b/>
        <sz val="11"/>
        <color rgb="FFFF0000"/>
        <rFont val="Calibri"/>
        <family val="2"/>
      </rPr>
      <t>Maroon-Blue-Black</t>
    </r>
  </si>
  <si>
    <r>
      <t xml:space="preserve">Sleevless, Round neck, </t>
    </r>
    <r>
      <rPr>
        <b/>
        <sz val="11"/>
        <color rgb="FFFF0000"/>
        <rFont val="Calibri"/>
        <family val="2"/>
      </rPr>
      <t>White-Blue-Olive</t>
    </r>
  </si>
  <si>
    <r>
      <rPr>
        <b/>
        <sz val="11"/>
        <color rgb="FFFF0000"/>
        <rFont val="Calibri"/>
        <family val="2"/>
      </rPr>
      <t>Gray</t>
    </r>
    <r>
      <rPr>
        <sz val="11"/>
        <color theme="1"/>
        <rFont val="Calibri"/>
        <family val="2"/>
      </rPr>
      <t xml:space="preserve"> colour with white thread work, Round Neck, chikonkari, mirror work , cotton Inner</t>
    </r>
  </si>
  <si>
    <r>
      <rPr>
        <b/>
        <sz val="11"/>
        <color rgb="FFFF0000"/>
        <rFont val="Calibri"/>
        <family val="2"/>
      </rPr>
      <t>Mustard</t>
    </r>
    <r>
      <rPr>
        <sz val="11"/>
        <color theme="1"/>
        <rFont val="Calibri"/>
        <family val="2"/>
      </rPr>
      <t xml:space="preserve"> colour, Batik print, Round neck, light thread work</t>
    </r>
  </si>
  <si>
    <r>
      <rPr>
        <b/>
        <sz val="11"/>
        <color rgb="FFFF0000"/>
        <rFont val="Calibri"/>
        <family val="2"/>
      </rPr>
      <t>Gray</t>
    </r>
    <r>
      <rPr>
        <sz val="11"/>
        <color theme="1"/>
        <rFont val="Calibri"/>
        <family val="2"/>
      </rPr>
      <t xml:space="preserve"> colour with self colour thread work , Quarter sleeves, Round neck</t>
    </r>
  </si>
  <si>
    <r>
      <rPr>
        <b/>
        <sz val="11"/>
        <color rgb="FFFF0000"/>
        <rFont val="Calibri"/>
        <family val="2"/>
      </rPr>
      <t>Sea Green</t>
    </r>
    <r>
      <rPr>
        <sz val="11"/>
        <color theme="1"/>
        <rFont val="Calibri"/>
        <family val="2"/>
      </rPr>
      <t xml:space="preserve"> colour, Heavy White Thread Work in Front</t>
    </r>
  </si>
  <si>
    <r>
      <rPr>
        <b/>
        <sz val="11"/>
        <color rgb="FFFF0000"/>
        <rFont val="Calibri"/>
        <family val="2"/>
      </rPr>
      <t>Gray</t>
    </r>
    <r>
      <rPr>
        <sz val="11"/>
        <color theme="1"/>
        <rFont val="Calibri"/>
        <family val="2"/>
      </rPr>
      <t xml:space="preserve"> colour, Heavy White Thread Work in Front</t>
    </r>
  </si>
  <si>
    <r>
      <rPr>
        <b/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Check kurti with </t>
    </r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patch in front, KATHA stitch in front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</si>
  <si>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Check kurti with </t>
    </r>
    <r>
      <rPr>
        <b/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patch in front, KATHA stitch in front</t>
    </r>
  </si>
  <si>
    <t>Ranikuthi Exibition(12th 13th 14th 15th 16th Dec)</t>
  </si>
  <si>
    <t>Laketown winter Exhibition (18th,19th,20th,21st Dec)</t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</si>
  <si>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colour,  Black Ajrakh patch at neckline and Pockets</t>
    </r>
  </si>
  <si>
    <r>
      <rPr>
        <b/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 Black Ajrakh patch at neckline and Pockets</t>
    </r>
  </si>
  <si>
    <r>
      <rPr>
        <b/>
        <sz val="11"/>
        <color rgb="FFFF0000"/>
        <rFont val="Calibri"/>
        <family val="2"/>
      </rPr>
      <t>Blue &amp; Gray</t>
    </r>
    <r>
      <rPr>
        <sz val="11"/>
        <color theme="1"/>
        <rFont val="Calibri"/>
        <family val="2"/>
      </rPr>
      <t xml:space="preserve"> kalamkari Print,V Neck One side Pocket, Belt at the Back</t>
    </r>
  </si>
  <si>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colour, V neck, Ajrakh patch in frant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</si>
  <si>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V neck, Ajrakh patch in frant</t>
    </r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</si>
  <si>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colour, V neck, Ajrakh patch in frant</t>
    </r>
  </si>
  <si>
    <t>Long Jacket</t>
  </si>
  <si>
    <r>
      <rPr>
        <b/>
        <sz val="11"/>
        <color rgb="FFFF0000"/>
        <rFont val="Calibri"/>
        <family val="2"/>
      </rPr>
      <t>Blue-Gray-Ocher</t>
    </r>
    <r>
      <rPr>
        <sz val="11"/>
        <color theme="1"/>
        <rFont val="Calibri"/>
        <family val="2"/>
      </rPr>
      <t xml:space="preserve"> colour Floral Print, Dual side long Jacket, All over Kantha Work, Buttons infront </t>
    </r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</si>
  <si>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 and White Floral Print, Dual side long Jacket, All over Kantha Work, Buttons infront 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</si>
  <si>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 and White colour Print, Dual side long Jacket, All over Kantha Work, Buttons infront </t>
    </r>
  </si>
  <si>
    <t>Short Jacket</t>
  </si>
  <si>
    <r>
      <rPr>
        <b/>
        <sz val="11"/>
        <color rgb="FFFF0000"/>
        <rFont val="Calibri"/>
        <family val="2"/>
      </rPr>
      <t>Blue-Gray-Ocher</t>
    </r>
    <r>
      <rPr>
        <sz val="11"/>
        <color theme="1"/>
        <rFont val="Calibri"/>
        <family val="2"/>
      </rPr>
      <t xml:space="preserve"> colour Floral Print, Dual side Short Jacket, All over Kantha Work, Buttons infront 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</si>
  <si>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 White Print, Dual side Short Jacket, All over Kantha Work, Buttons infront </t>
    </r>
  </si>
  <si>
    <r>
      <rPr>
        <b/>
        <sz val="11"/>
        <color rgb="FFFF0000"/>
        <rFont val="Calibri"/>
        <family val="2"/>
      </rPr>
      <t>SeaGreen</t>
    </r>
    <r>
      <rPr>
        <sz val="11"/>
        <color theme="1"/>
        <rFont val="Calibri"/>
        <family val="2"/>
      </rPr>
      <t xml:space="preserve"> colour White Print, Dual side Short Jacket, All over Kantha Work, Buttons infront </t>
    </r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</si>
  <si>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 White Print, Dual side Short Jacket, All over Kantha Work, Buttons infront </t>
    </r>
  </si>
  <si>
    <t>Ranikuthi</t>
  </si>
  <si>
    <t>Harpreet</t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</si>
  <si>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White Thread work in front</t>
    </r>
  </si>
  <si>
    <t>Debangana</t>
  </si>
  <si>
    <t>Esha Saha</t>
  </si>
  <si>
    <t>Munmun</t>
  </si>
  <si>
    <t>Sarmila</t>
  </si>
  <si>
    <t>Konika</t>
  </si>
  <si>
    <t>Nupur Mukherjee</t>
  </si>
  <si>
    <t>Shila Das</t>
  </si>
  <si>
    <t>Kamolika Roy</t>
  </si>
  <si>
    <t>Garment +Sompa Black Gown</t>
  </si>
  <si>
    <t>Srayoshi</t>
  </si>
  <si>
    <t>Laketown (Dec)</t>
  </si>
  <si>
    <t>Shuli Ghosh</t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</si>
  <si>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, Round neck, light thread works in front </t>
    </r>
  </si>
  <si>
    <t>P.Bhadra</t>
  </si>
  <si>
    <t>Pinki Sasmol</t>
  </si>
  <si>
    <t>Rakhi</t>
  </si>
  <si>
    <t>Riya Roy</t>
  </si>
  <si>
    <t>lia Dhor</t>
  </si>
  <si>
    <t xml:space="preserve">Maroon , Shirt collar, All over leaf print </t>
  </si>
  <si>
    <t xml:space="preserve">Maroon , Shirt collar, All over Village print </t>
  </si>
  <si>
    <t>Shirt, Blue Colour, chinese collar,</t>
  </si>
  <si>
    <t>Shirt, Dark Green Colour, chinese collar,</t>
  </si>
  <si>
    <t>Shirt, White Colour, chinese collar,</t>
  </si>
  <si>
    <t>Orange colour,Shirt collar, Half jump suit</t>
  </si>
  <si>
    <t>Pink colour, Chinese collar, Half jump suit</t>
  </si>
  <si>
    <t>White colour, Shirt collar, Half jump suit</t>
  </si>
  <si>
    <t>chinese collar BLUE coloue, Ajrkh border 2 pockets</t>
  </si>
  <si>
    <t>chinese collar BLUE coloue, Ajrkh border 2 pockets, Thread Work</t>
  </si>
  <si>
    <t xml:space="preserve">Maroon , V collar, All over Big Leaf print </t>
  </si>
  <si>
    <t xml:space="preserve">Black, V collar, All over Big Leaf print </t>
  </si>
  <si>
    <t>Maroon , Shirt collar, All over ROUND WHEEL LIKE print</t>
  </si>
  <si>
    <t xml:space="preserve">OffWhite, V collar, All over KOLKA print </t>
  </si>
  <si>
    <t xml:space="preserve">OffWhite, V collar, All over ZIG ZAG print </t>
  </si>
  <si>
    <r>
      <t xml:space="preserve">Yellow </t>
    </r>
    <r>
      <rPr>
        <sz val="11"/>
        <rFont val="Calibri"/>
        <family val="2"/>
      </rPr>
      <t>colour jamdani print, Shirt collar</t>
    </r>
  </si>
  <si>
    <r>
      <t>Maroon</t>
    </r>
    <r>
      <rPr>
        <sz val="11"/>
        <rFont val="Calibri"/>
        <family val="2"/>
      </rPr>
      <t xml:space="preserve"> colour jamdani print, Shirt collar</t>
    </r>
  </si>
  <si>
    <t>S.Ghosh</t>
  </si>
  <si>
    <t>payel</t>
  </si>
  <si>
    <t>Tanima</t>
  </si>
  <si>
    <t>Sangita Chakraborty</t>
  </si>
  <si>
    <t>Suparna Ghosh</t>
  </si>
  <si>
    <t>Shilpi Kundu</t>
  </si>
  <si>
    <t>Gargi Laketown</t>
  </si>
  <si>
    <t>Danger Lady</t>
  </si>
  <si>
    <t>Mrs.Day</t>
  </si>
  <si>
    <t>Moupiu</t>
  </si>
  <si>
    <t>Kaya</t>
  </si>
  <si>
    <t>Modhu</t>
  </si>
  <si>
    <r>
      <rPr>
        <sz val="12"/>
        <color rgb="FFFF0000"/>
        <rFont val="Aptos Narrow"/>
        <family val="2"/>
        <scheme val="minor"/>
      </rPr>
      <t>white</t>
    </r>
    <r>
      <rPr>
        <sz val="12"/>
        <color theme="1"/>
        <rFont val="Aptos Narrow"/>
        <family val="2"/>
        <scheme val="minor"/>
      </rPr>
      <t xml:space="preserve"> dhuti pant</t>
    </r>
  </si>
  <si>
    <t>A</t>
  </si>
  <si>
    <t>Shawl Fabric</t>
  </si>
  <si>
    <r>
      <rPr>
        <b/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colour dress, Quarter Sleeves,  kasmiri work jacket</t>
    </r>
  </si>
  <si>
    <r>
      <rPr>
        <b/>
        <sz val="11"/>
        <color rgb="FFFF0000"/>
        <rFont val="Calibri"/>
        <family val="2"/>
      </rPr>
      <t>Tute</t>
    </r>
    <r>
      <rPr>
        <sz val="11"/>
        <color theme="1"/>
        <rFont val="Calibri"/>
        <family val="2"/>
      </rPr>
      <t xml:space="preserve"> colour, Round neck, rani orange fabric print, light thread work</t>
    </r>
  </si>
  <si>
    <r>
      <rPr>
        <b/>
        <sz val="11"/>
        <color rgb="FFFF0000"/>
        <rFont val="Calibri"/>
        <family val="2"/>
      </rPr>
      <t>Olive</t>
    </r>
    <r>
      <rPr>
        <sz val="11"/>
        <color theme="1"/>
        <rFont val="Calibri"/>
        <family val="2"/>
      </rPr>
      <t xml:space="preserve"> colour, offwhite print with light thread work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</si>
  <si>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maroon print with light thread work, strip print stright Paint,  V nack</t>
    </r>
  </si>
  <si>
    <r>
      <rPr>
        <b/>
        <sz val="11"/>
        <color rgb="FFFF0000"/>
        <rFont val="Calibri"/>
        <family val="2"/>
      </rPr>
      <t>Dark Green</t>
    </r>
    <r>
      <rPr>
        <sz val="11"/>
        <color theme="1"/>
        <rFont val="Calibri"/>
        <family val="2"/>
      </rPr>
      <t xml:space="preserve"> colour with lace work and ajrakh print, V neck, Quarter sleeves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</si>
  <si>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colour, maroon print with light thread work, strip print stright Paint,  V nack</t>
    </r>
  </si>
  <si>
    <t>Black colour, Tample work both side, light thread work, Round neck</t>
  </si>
  <si>
    <t>Yellow colour, Angrakha Pattarn , Green patch with red thread work</t>
  </si>
  <si>
    <r>
      <rPr>
        <b/>
        <sz val="11"/>
        <color rgb="FFFF0000"/>
        <rFont val="Calibri"/>
        <family val="2"/>
      </rPr>
      <t>Rani</t>
    </r>
    <r>
      <rPr>
        <sz val="11"/>
        <color theme="1"/>
        <rFont val="Calibri"/>
        <family val="2"/>
      </rPr>
      <t xml:space="preserve"> colour with white havy thread work</t>
    </r>
  </si>
  <si>
    <r>
      <rPr>
        <b/>
        <sz val="11"/>
        <color rgb="FFFF0000"/>
        <rFont val="Calibri"/>
        <family val="2"/>
      </rPr>
      <t>Skyblue</t>
    </r>
    <r>
      <rPr>
        <sz val="11"/>
        <color theme="1"/>
        <rFont val="Calibri"/>
        <family val="2"/>
      </rPr>
      <t xml:space="preserve"> colour, V neck, lace work at the neckline</t>
    </r>
  </si>
  <si>
    <t>Shirt collar Multi Colour Ajrakh patch work, Light thread work with mirror</t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</si>
  <si>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colour, V neck, lace work and Hacoba patch at thr neck, Hacoba puff sleeves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</si>
  <si>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V neck, lace work and Hacoba patch at thr neck, Hacoba puff sleeves</t>
    </r>
  </si>
  <si>
    <r>
      <rPr>
        <b/>
        <sz val="11"/>
        <color rgb="FFFF0000"/>
        <rFont val="Calibri"/>
        <family val="2"/>
      </rPr>
      <t>Dark Green</t>
    </r>
    <r>
      <rPr>
        <sz val="11"/>
        <color theme="1"/>
        <rFont val="Calibri"/>
        <family val="2"/>
      </rPr>
      <t xml:space="preserve"> colour, round neck, White thread work with lace work in front, Hacoba puff sleeves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</si>
  <si>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round neck, Red thread work with lace work in front, Hacoba puff sleeves</t>
    </r>
  </si>
  <si>
    <r>
      <rPr>
        <b/>
        <sz val="11"/>
        <color rgb="FFFF0000"/>
        <rFont val="Calibri"/>
        <family val="2"/>
      </rPr>
      <t>Off white</t>
    </r>
    <r>
      <rPr>
        <sz val="11"/>
        <color theme="1"/>
        <rFont val="Calibri"/>
        <family val="2"/>
      </rPr>
      <t xml:space="preserve"> colour, round neck, All over red black katha work, red  black thread work infront with light thread work</t>
    </r>
  </si>
  <si>
    <t>Army Green Colour, Round neck, Ajrakh Patch &amp; Mirror work In Front and sleeves</t>
  </si>
  <si>
    <r>
      <t xml:space="preserve">Black </t>
    </r>
    <r>
      <rPr>
        <sz val="11"/>
        <color theme="1"/>
        <rFont val="Calibri"/>
        <family val="2"/>
      </rPr>
      <t xml:space="preserve"> Colour Ikat Print, Round neck, Ajrakh patch, thread and mirror work in front</t>
    </r>
  </si>
  <si>
    <r>
      <t xml:space="preserve">Black </t>
    </r>
    <r>
      <rPr>
        <sz val="11"/>
        <color theme="1"/>
        <rFont val="Calibri"/>
        <family val="2"/>
      </rPr>
      <t>colour, Round V Neck, Ajrakh Patch and Mirror work in front</t>
    </r>
  </si>
  <si>
    <t>Green Colour,Round neck, Kalamkari, Ajrakh, and mirror work</t>
  </si>
  <si>
    <t xml:space="preserve">Black katha work All over and red &amp; White thread work </t>
  </si>
  <si>
    <t xml:space="preserve">Red katha work All over and red &amp; White thread work </t>
  </si>
  <si>
    <t>Red colour, V neck, Green Yellow thread work in Front</t>
  </si>
  <si>
    <t>Yellow colour Batik Print, Light thread work</t>
  </si>
  <si>
    <t>Cotton+silk</t>
  </si>
  <si>
    <t>Kalindi winter Exhibition (8th,9th,10th,11st Jan)</t>
  </si>
  <si>
    <t>Green Colour, Golden buta, multi colour with golden thread work, Round neck</t>
  </si>
  <si>
    <t>Orgenza</t>
  </si>
  <si>
    <r>
      <rPr>
        <b/>
        <sz val="11"/>
        <color rgb="FFFF0000"/>
        <rFont val="Calibri"/>
        <family val="2"/>
      </rPr>
      <t>Dark Blue</t>
    </r>
    <r>
      <rPr>
        <sz val="11"/>
        <color theme="1"/>
        <rFont val="Calibri"/>
        <family val="2"/>
      </rPr>
      <t xml:space="preserve"> colour, Ajrakh patch in front and sleeves, light mirrorwork in front</t>
    </r>
  </si>
  <si>
    <t>Kalindi</t>
  </si>
  <si>
    <t>Muskan</t>
  </si>
  <si>
    <t>S. Roychoudhury</t>
  </si>
  <si>
    <t>R.Roy</t>
  </si>
  <si>
    <r>
      <rPr>
        <b/>
        <sz val="11"/>
        <color rgb="FFFF0000"/>
        <rFont val="Calibri"/>
        <family val="2"/>
      </rPr>
      <t>Black,</t>
    </r>
    <r>
      <rPr>
        <sz val="11"/>
        <color theme="1"/>
        <rFont val="Calibri"/>
        <family val="2"/>
      </rPr>
      <t xml:space="preserve"> Ajrakh print</t>
    </r>
  </si>
  <si>
    <t>Rinku Pal</t>
  </si>
  <si>
    <t>Moumita Biswas</t>
  </si>
  <si>
    <r>
      <rPr>
        <b/>
        <sz val="11"/>
        <color rgb="FFFF0000"/>
        <rFont val="Calibri"/>
        <family val="2"/>
      </rPr>
      <t>Steel blue</t>
    </r>
    <r>
      <rPr>
        <sz val="11"/>
        <color theme="1"/>
        <rFont val="Calibri"/>
        <family val="2"/>
      </rPr>
      <t xml:space="preserve"> colour with thread work, Square  neck Dress, Yellow Hakoba and Lace Work in Front</t>
    </r>
  </si>
  <si>
    <t>kalindi</t>
  </si>
  <si>
    <t>Debashree</t>
  </si>
  <si>
    <t>Somoshree</t>
  </si>
  <si>
    <r>
      <rPr>
        <b/>
        <sz val="11"/>
        <color rgb="FFFF0000"/>
        <rFont val="Calibri"/>
        <family val="2"/>
      </rPr>
      <t>Steel Blue</t>
    </r>
    <r>
      <rPr>
        <sz val="11"/>
        <color theme="1"/>
        <rFont val="Calibri"/>
        <family val="2"/>
      </rPr>
      <t xml:space="preserve"> colour Golden pipeing, Golden thread work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</si>
  <si>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V Neck, Black &amp; White Flower Print,</t>
    </r>
  </si>
  <si>
    <r>
      <rPr>
        <b/>
        <sz val="11"/>
        <color rgb="FFFF0000"/>
        <rFont val="Calibri"/>
        <family val="2"/>
      </rPr>
      <t>Steel Blue</t>
    </r>
    <r>
      <rPr>
        <sz val="11"/>
        <color theme="1"/>
        <rFont val="Calibri"/>
        <family val="2"/>
      </rPr>
      <t xml:space="preserve"> colour Batik Print, Light thread work</t>
    </r>
  </si>
  <si>
    <t>Munmun Saha</t>
  </si>
  <si>
    <t>Taniya Seller</t>
  </si>
  <si>
    <t>Kaberi Chakraborty</t>
  </si>
  <si>
    <t>Kalindi Customer</t>
  </si>
  <si>
    <t>Aparajita Saha</t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</si>
  <si>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Round neck, Ajrakh Patch on the sleeves</t>
    </r>
  </si>
  <si>
    <t>Suparna kalindi</t>
  </si>
  <si>
    <t>Bonolina</t>
  </si>
  <si>
    <t>Koyal</t>
  </si>
  <si>
    <t>Sonali Kalindi</t>
  </si>
  <si>
    <r>
      <rPr>
        <b/>
        <sz val="11"/>
        <color rgb="FFFF0000"/>
        <rFont val="Calibri"/>
        <family val="2"/>
      </rPr>
      <t>Rust</t>
    </r>
    <r>
      <rPr>
        <sz val="11"/>
        <color theme="1"/>
        <rFont val="Calibri"/>
        <family val="2"/>
      </rPr>
      <t xml:space="preserve"> colour with white print coord set, chinese collar, Light Thread Work</t>
    </r>
  </si>
  <si>
    <t>A.Mukherjee</t>
  </si>
  <si>
    <t>Sonali Chakraborty</t>
  </si>
  <si>
    <t>Shivani</t>
  </si>
  <si>
    <t>Dipa Saha</t>
  </si>
  <si>
    <t>B.Das</t>
  </si>
  <si>
    <r>
      <rPr>
        <b/>
        <sz val="11"/>
        <color rgb="FFFF0000"/>
        <rFont val="Calibri"/>
        <family val="2"/>
      </rPr>
      <t>OFF White</t>
    </r>
    <r>
      <rPr>
        <sz val="11"/>
        <color theme="1"/>
        <rFont val="Calibri"/>
        <family val="2"/>
      </rPr>
      <t xml:space="preserve"> , Shirt collar, All over Village print </t>
    </r>
  </si>
  <si>
    <t>S.Mitra</t>
  </si>
  <si>
    <r>
      <rPr>
        <b/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 with maroon Print with thread work in front</t>
    </r>
  </si>
  <si>
    <r>
      <rPr>
        <b/>
        <sz val="11"/>
        <color rgb="FFFF0000"/>
        <rFont val="Calibri"/>
        <family val="2"/>
      </rPr>
      <t>Rani</t>
    </r>
    <r>
      <rPr>
        <sz val="11"/>
        <color theme="1"/>
        <rFont val="Calibri"/>
        <family val="2"/>
      </rPr>
      <t xml:space="preserve"> colour, Round Neck, Blue Ajrakh Patch and mirror work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</si>
  <si>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Tample work both side, light thread work, Round neck</t>
    </r>
  </si>
  <si>
    <t xml:space="preserve">Sangita </t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</si>
  <si>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coloue with FISH thread work in front lower part Black colour with print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</si>
  <si>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coloue with FISH thread work in front Yellow colour with Butic print patch center</t>
    </r>
  </si>
  <si>
    <t>ASG Dream Fashion</t>
  </si>
  <si>
    <t>Howrah</t>
  </si>
  <si>
    <r>
      <rPr>
        <b/>
        <sz val="12"/>
        <color rgb="FF0070C0"/>
        <rFont val="Aptos Narrow"/>
        <family val="2"/>
        <scheme val="minor"/>
      </rPr>
      <t>Black</t>
    </r>
    <r>
      <rPr>
        <sz val="12"/>
        <color theme="1"/>
        <rFont val="Aptos Narrow"/>
        <family val="2"/>
        <scheme val="minor"/>
      </rPr>
      <t>, Shirt collar, Sleeveless</t>
    </r>
  </si>
  <si>
    <r>
      <rPr>
        <b/>
        <sz val="12"/>
        <color rgb="FF0070C0"/>
        <rFont val="Aptos Narrow"/>
        <family val="2"/>
        <scheme val="minor"/>
      </rPr>
      <t>Olive Green</t>
    </r>
    <r>
      <rPr>
        <sz val="12"/>
        <rFont val="Aptos Narrow"/>
        <family val="2"/>
        <scheme val="minor"/>
      </rPr>
      <t xml:space="preserve"> with floral print</t>
    </r>
    <r>
      <rPr>
        <sz val="12"/>
        <color theme="1"/>
        <rFont val="Aptos Narrow"/>
        <family val="2"/>
        <scheme val="minor"/>
      </rPr>
      <t>, Shirt collar, Sleeveless</t>
    </r>
  </si>
  <si>
    <r>
      <rPr>
        <b/>
        <sz val="11"/>
        <color theme="4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Round with V neck, Light thread work at the neckline, GANCHA Aplic in front Puffed sleeves</t>
    </r>
  </si>
  <si>
    <r>
      <rPr>
        <b/>
        <sz val="11"/>
        <color theme="4"/>
        <rFont val="Calibri"/>
        <family val="2"/>
      </rPr>
      <t>Bottle Green</t>
    </r>
    <r>
      <rPr>
        <sz val="11"/>
        <color theme="1"/>
        <rFont val="Calibri"/>
        <family val="2"/>
      </rPr>
      <t xml:space="preserve"> colour, Round with V neck, Light thread work at the neckline, GANCHA Aplic in front, Puffed sleeves</t>
    </r>
  </si>
  <si>
    <r>
      <rPr>
        <b/>
        <sz val="11"/>
        <color theme="4"/>
        <rFont val="Calibri"/>
        <family val="2"/>
      </rPr>
      <t>Red</t>
    </r>
    <r>
      <rPr>
        <sz val="11"/>
        <color theme="1"/>
        <rFont val="Calibri"/>
        <family val="2"/>
      </rPr>
      <t xml:space="preserve"> colour, Round with V neck, Light thread work at the neckline, GANCHA Aplic in front, Puffed sleeves</t>
    </r>
  </si>
  <si>
    <r>
      <rPr>
        <b/>
        <sz val="11"/>
        <color theme="4"/>
        <rFont val="Calibri"/>
        <family val="2"/>
      </rPr>
      <t>Musterd</t>
    </r>
    <r>
      <rPr>
        <sz val="11"/>
        <color theme="1"/>
        <rFont val="Calibri"/>
        <family val="2"/>
      </rPr>
      <t xml:space="preserve"> colour, Round with V neck, Light thread work at the neckline, GANCHA Aplic in front, Puffed sleeves</t>
    </r>
  </si>
  <si>
    <r>
      <rPr>
        <b/>
        <sz val="11"/>
        <color theme="4"/>
        <rFont val="Calibri"/>
        <family val="2"/>
      </rPr>
      <t>Red</t>
    </r>
    <r>
      <rPr>
        <sz val="11"/>
        <color theme="1"/>
        <rFont val="Calibri"/>
        <family val="2"/>
      </rPr>
      <t xml:space="preserve"> colour, Round neck, Ajrakh patch at the neckline, Light mirror work in front, Puffed sleeves, Ajrakh patch at the bottom</t>
    </r>
  </si>
  <si>
    <r>
      <rPr>
        <b/>
        <sz val="11"/>
        <color theme="4"/>
        <rFont val="Calibri"/>
        <family val="2"/>
      </rPr>
      <t>Blue</t>
    </r>
    <r>
      <rPr>
        <sz val="11"/>
        <color theme="1"/>
        <rFont val="Calibri"/>
        <family val="2"/>
      </rPr>
      <t xml:space="preserve"> colour, Round neck, Ajrakh patch at the neckline, Light mirror work in front, Puffed sleeves, Ajrakh patch at the bottom</t>
    </r>
  </si>
  <si>
    <r>
      <rPr>
        <b/>
        <sz val="11"/>
        <color theme="4"/>
        <rFont val="Calibri"/>
        <family val="2"/>
      </rPr>
      <t>Light Green</t>
    </r>
    <r>
      <rPr>
        <sz val="11"/>
        <color theme="1"/>
        <rFont val="Calibri"/>
        <family val="2"/>
      </rPr>
      <t xml:space="preserve"> colour Batik Print, Light thread work in front</t>
    </r>
  </si>
  <si>
    <r>
      <rPr>
        <b/>
        <sz val="11"/>
        <color theme="4"/>
        <rFont val="Calibri"/>
        <family val="2"/>
      </rPr>
      <t>Pink</t>
    </r>
    <r>
      <rPr>
        <sz val="11"/>
        <color theme="1"/>
        <rFont val="Calibri"/>
        <family val="2"/>
      </rPr>
      <t xml:space="preserve"> colour Batik Print, Light thread work in front</t>
    </r>
  </si>
  <si>
    <r>
      <rPr>
        <b/>
        <sz val="11"/>
        <color theme="4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 Batik Print, Light thread work in front</t>
    </r>
  </si>
  <si>
    <r>
      <rPr>
        <b/>
        <sz val="11"/>
        <color theme="4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Round Neck, Jamdani work, Glass Sleeves, Colourfull patch at the back</t>
    </r>
  </si>
  <si>
    <r>
      <rPr>
        <b/>
        <sz val="11"/>
        <color theme="4"/>
        <rFont val="Calibri"/>
        <family val="2"/>
      </rPr>
      <t>Red</t>
    </r>
    <r>
      <rPr>
        <sz val="11"/>
        <color theme="1"/>
        <rFont val="Calibri"/>
        <family val="2"/>
      </rPr>
      <t xml:space="preserve"> colour, Round Neck, Jamdani work, Glass Sleeves, Colourfull patch at the back</t>
    </r>
  </si>
  <si>
    <r>
      <rPr>
        <b/>
        <sz val="11"/>
        <color theme="4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Round Neck, Jamdani work, Glass Sleeves, Colourfull patch at the back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</si>
  <si>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dress, Squre neck, full gown</t>
    </r>
  </si>
  <si>
    <r>
      <rPr>
        <b/>
        <sz val="11"/>
        <color rgb="FFFF0000"/>
        <rFont val="Calibri"/>
        <family val="2"/>
      </rPr>
      <t>SeaGreen</t>
    </r>
    <r>
      <rPr>
        <sz val="11"/>
        <color theme="1"/>
        <rFont val="Calibri"/>
        <family val="2"/>
      </rPr>
      <t xml:space="preserve"> dress with pink, green &amp; white flower print, Rapid, Front zipper, sleeveless</t>
    </r>
  </si>
  <si>
    <r>
      <rPr>
        <b/>
        <sz val="12"/>
        <color rgb="FFFF0000"/>
        <rFont val="Aptos Narrow"/>
        <family val="2"/>
        <scheme val="minor"/>
      </rPr>
      <t>Sky Blue</t>
    </r>
    <r>
      <rPr>
        <sz val="12"/>
        <color theme="1"/>
        <rFont val="Aptos Narrow"/>
        <family val="2"/>
        <scheme val="minor"/>
      </rPr>
      <t>,  print on white colour Dress with short shrug, sleeveless inside and 3 quarter sleeves short shrug</t>
    </r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</si>
  <si>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dress, Squre neck, full gown</t>
    </r>
  </si>
  <si>
    <r>
      <rPr>
        <b/>
        <sz val="11"/>
        <color theme="4"/>
        <rFont val="Calibri"/>
        <family val="2"/>
      </rPr>
      <t>Black</t>
    </r>
    <r>
      <rPr>
        <sz val="11"/>
        <color theme="1"/>
        <rFont val="Calibri"/>
        <family val="2"/>
      </rPr>
      <t xml:space="preserve"> colour  gown, V neck, Big white flower on the sleeves and bottom</t>
    </r>
  </si>
  <si>
    <r>
      <t xml:space="preserve">Blazer collar </t>
    </r>
    <r>
      <rPr>
        <b/>
        <sz val="12"/>
        <color rgb="FFFF0000"/>
        <rFont val="Aptos Narrow"/>
        <family val="2"/>
        <scheme val="minor"/>
      </rPr>
      <t>Black</t>
    </r>
    <r>
      <rPr>
        <sz val="12"/>
        <color rgb="FF0070C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Top &amp; </t>
    </r>
    <r>
      <rPr>
        <b/>
        <sz val="12"/>
        <color rgb="FFFF0000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 xml:space="preserve"> pencil skirt,Maroon Ajrakh print </t>
    </r>
  </si>
  <si>
    <r>
      <t xml:space="preserve">Shirt collar </t>
    </r>
    <r>
      <rPr>
        <b/>
        <sz val="12"/>
        <color rgb="FFFF0000"/>
        <rFont val="Aptos Narrow"/>
        <family val="2"/>
        <scheme val="minor"/>
      </rPr>
      <t>Purple</t>
    </r>
    <r>
      <rPr>
        <sz val="12"/>
        <color rgb="FF0070C0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 xml:space="preserve">Top &amp; </t>
    </r>
    <r>
      <rPr>
        <b/>
        <sz val="12"/>
        <color rgb="FFFF0000"/>
        <rFont val="Aptos Narrow"/>
        <family val="2"/>
        <scheme val="minor"/>
      </rPr>
      <t>Golden</t>
    </r>
    <r>
      <rPr>
        <sz val="12"/>
        <color theme="1"/>
        <rFont val="Aptos Narrow"/>
        <family val="2"/>
        <scheme val="minor"/>
      </rPr>
      <t xml:space="preserve"> pencil skirt with Laheriya print </t>
    </r>
  </si>
  <si>
    <r>
      <rPr>
        <b/>
        <sz val="12"/>
        <color theme="4"/>
        <rFont val="Aptos Narrow"/>
        <family val="2"/>
        <scheme val="minor"/>
      </rPr>
      <t>Red</t>
    </r>
    <r>
      <rPr>
        <sz val="12"/>
        <color theme="1"/>
        <rFont val="Aptos Narrow"/>
        <family val="2"/>
        <scheme val="minor"/>
      </rPr>
      <t xml:space="preserve"> colour, Angrakha style, white colour threasd work at one side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</si>
  <si>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with Orange Thread work</t>
    </r>
  </si>
  <si>
    <t>168-16</t>
  </si>
  <si>
    <r>
      <rPr>
        <b/>
        <sz val="11"/>
        <color rgb="FFFF0000"/>
        <rFont val="Calibri"/>
        <family val="2"/>
      </rPr>
      <t>Lemon yellow</t>
    </r>
    <r>
      <rPr>
        <sz val="11"/>
        <color theme="1"/>
        <rFont val="Calibri"/>
        <family val="2"/>
      </rPr>
      <t>, Rajasthani print patch in front</t>
    </r>
  </si>
  <si>
    <t>silk + cotton</t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</si>
  <si>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Angrakha Pattarn , Green patch with red thread work</t>
    </r>
  </si>
  <si>
    <t>south cotton</t>
  </si>
  <si>
    <r>
      <rPr>
        <b/>
        <sz val="11"/>
        <color rgb="FFFF0000"/>
        <rFont val="Calibri"/>
        <family val="2"/>
      </rPr>
      <t>Purple</t>
    </r>
    <r>
      <rPr>
        <sz val="11"/>
        <color theme="1"/>
        <rFont val="Calibri"/>
        <family val="2"/>
      </rPr>
      <t xml:space="preserve"> colour Maheesh kurti, Angrakha style, mirror work in front with Patch work</t>
    </r>
  </si>
  <si>
    <r>
      <rPr>
        <b/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colour Maheesh kurti, Angrakha style,  mirror work in front with Patch work</t>
    </r>
  </si>
  <si>
    <r>
      <rPr>
        <b/>
        <sz val="11"/>
        <color rgb="FFFF0000"/>
        <rFont val="Calibri"/>
        <family val="2"/>
      </rPr>
      <t>chocolate</t>
    </r>
    <r>
      <rPr>
        <sz val="11"/>
        <color theme="1"/>
        <rFont val="Calibri"/>
        <family val="2"/>
      </rPr>
      <t xml:space="preserve"> colour solid colour co-ord set</t>
    </r>
  </si>
  <si>
    <r>
      <rPr>
        <b/>
        <sz val="11"/>
        <color rgb="FFFF0000"/>
        <rFont val="Calibri"/>
        <family val="2"/>
      </rPr>
      <t>Olive Green</t>
    </r>
    <r>
      <rPr>
        <sz val="11"/>
        <color theme="1"/>
        <rFont val="Calibri"/>
        <family val="2"/>
      </rPr>
      <t xml:space="preserve"> with white colour print, Shirt collar</t>
    </r>
  </si>
  <si>
    <r>
      <rPr>
        <b/>
        <sz val="11"/>
        <color rgb="FFFF0000"/>
        <rFont val="Calibri"/>
        <family val="2"/>
      </rPr>
      <t xml:space="preserve">Danim Blue </t>
    </r>
    <r>
      <rPr>
        <sz val="11"/>
        <color theme="1"/>
        <rFont val="Calibri"/>
        <family val="2"/>
      </rPr>
      <t>colour, Chinese collar, show bottons in front</t>
    </r>
  </si>
  <si>
    <r>
      <rPr>
        <b/>
        <sz val="11"/>
        <color rgb="FFFF0000"/>
        <rFont val="Calibri"/>
        <family val="2"/>
      </rPr>
      <t>Bottle Green</t>
    </r>
    <r>
      <rPr>
        <sz val="11"/>
        <color theme="1"/>
        <rFont val="Calibri"/>
        <family val="2"/>
      </rPr>
      <t xml:space="preserve"> colour, V neck, All over Jamdani work with kalamkari patch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</si>
  <si>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Angrakha style, Katha work with Lace work at the nack line</t>
    </r>
  </si>
  <si>
    <r>
      <rPr>
        <b/>
        <sz val="11"/>
        <color rgb="FFFF0000"/>
        <rFont val="Calibri"/>
        <family val="2"/>
      </rPr>
      <t>Pink</t>
    </r>
    <r>
      <rPr>
        <sz val="11"/>
        <color theme="1"/>
        <rFont val="Calibri"/>
        <family val="2"/>
      </rPr>
      <t xml:space="preserve"> colour with colourfull strips, holter neck, sleeveless</t>
    </r>
  </si>
  <si>
    <r>
      <rPr>
        <b/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colour, Hacoba &amp; Ajrakh patch, mirror work, Round neck</t>
    </r>
  </si>
  <si>
    <r>
      <rPr>
        <b/>
        <sz val="11"/>
        <color rgb="FFFF0000"/>
        <rFont val="Calibri"/>
        <family val="2"/>
      </rPr>
      <t>Wine</t>
    </r>
    <r>
      <rPr>
        <sz val="11"/>
        <color theme="1"/>
        <rFont val="Calibri"/>
        <family val="2"/>
      </rPr>
      <t xml:space="preserve"> colour, V neck, white floral print, Quarter sleeves</t>
    </r>
  </si>
  <si>
    <r>
      <rPr>
        <b/>
        <sz val="11"/>
        <color rgb="FFFF0000"/>
        <rFont val="Calibri"/>
        <family val="2"/>
      </rPr>
      <t>White</t>
    </r>
    <r>
      <rPr>
        <sz val="11"/>
        <color theme="1"/>
        <rFont val="Calibri"/>
        <family val="2"/>
      </rPr>
      <t xml:space="preserve"> Colour, red blue Ajrakh patch, V neck</t>
    </r>
  </si>
  <si>
    <t>Navy Blue with floral print colour dress, Puffed Sleeves</t>
  </si>
  <si>
    <t>tissue</t>
  </si>
  <si>
    <r>
      <rPr>
        <b/>
        <sz val="11"/>
        <color rgb="FFFF0000"/>
        <rFont val="Calibri"/>
        <family val="2"/>
      </rPr>
      <t>Bottle Green</t>
    </r>
    <r>
      <rPr>
        <sz val="11"/>
        <color theme="1"/>
        <rFont val="Calibri"/>
        <family val="2"/>
      </rPr>
      <t xml:space="preserve"> colour, Round with V Neck, white floral Patch in front</t>
    </r>
  </si>
  <si>
    <r>
      <rPr>
        <b/>
        <sz val="11"/>
        <color rgb="FFFF0000"/>
        <rFont val="Calibri"/>
        <family val="2"/>
      </rPr>
      <t>Rani</t>
    </r>
    <r>
      <rPr>
        <sz val="11"/>
        <color theme="1"/>
        <rFont val="Calibri"/>
        <family val="2"/>
      </rPr>
      <t xml:space="preserve"> colour, Round with V Neck, white floral Patch in front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</si>
  <si>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Round with V Neck, white floral Patch in front</t>
    </r>
  </si>
  <si>
    <r>
      <rPr>
        <b/>
        <sz val="11"/>
        <color rgb="FFFF0000"/>
        <rFont val="Calibri"/>
        <family val="2"/>
      </rPr>
      <t>Yellow</t>
    </r>
    <r>
      <rPr>
        <sz val="11"/>
        <color theme="1"/>
        <rFont val="Calibri"/>
        <family val="2"/>
      </rPr>
      <t xml:space="preserve"> colour, BIRD print, Shirt collar, Show Buttons in front 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</si>
  <si>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All over KATHA work, Hacoba Shirt collar, Show Buttons in front Hacoba sleeves</t>
    </r>
  </si>
  <si>
    <r>
      <rPr>
        <b/>
        <sz val="11"/>
        <color rgb="FFFF0000"/>
        <rFont val="Calibri"/>
        <family val="2"/>
      </rPr>
      <t>Grayish Blue</t>
    </r>
    <r>
      <rPr>
        <sz val="11"/>
        <color theme="1"/>
        <rFont val="Calibri"/>
        <family val="2"/>
      </rPr>
      <t xml:space="preserve"> colour, White patch with 3 Butterfly in front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</si>
  <si>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colour, Round neck, Ajrakh Patch with light thread work in front and mirror work</t>
    </r>
  </si>
  <si>
    <r>
      <rPr>
        <b/>
        <sz val="11"/>
        <color rgb="FFFF0000"/>
        <rFont val="Calibri"/>
        <family val="2"/>
      </rPr>
      <t>Gray</t>
    </r>
    <r>
      <rPr>
        <sz val="11"/>
        <color theme="1"/>
        <rFont val="Calibri"/>
        <family val="2"/>
      </rPr>
      <t xml:space="preserve"> TOP with Dark Green  light thread work and mirror work, Dark green cotton pant and Dupatta</t>
    </r>
  </si>
  <si>
    <r>
      <rPr>
        <b/>
        <sz val="11"/>
        <color rgb="FFFF0000"/>
        <rFont val="Calibri"/>
        <family val="2"/>
      </rPr>
      <t>Mustard yellow</t>
    </r>
    <r>
      <rPr>
        <sz val="11"/>
        <color theme="1"/>
        <rFont val="Calibri"/>
        <family val="2"/>
      </rPr>
      <t xml:space="preserve"> colour, All over white thread  work, Hacoba Shirt collar</t>
    </r>
  </si>
  <si>
    <r>
      <rPr>
        <b/>
        <sz val="11"/>
        <color rgb="FFFF0000"/>
        <rFont val="Calibri"/>
        <family val="2"/>
      </rPr>
      <t>Mustard yellow</t>
    </r>
    <r>
      <rPr>
        <sz val="11"/>
        <color theme="1"/>
        <rFont val="Calibri"/>
        <family val="2"/>
      </rPr>
      <t xml:space="preserve"> colour, Black Gamcha patch with kori and thread work</t>
    </r>
  </si>
  <si>
    <t>Laketown Bangure Avu(5th-8th March)</t>
  </si>
  <si>
    <r>
      <rPr>
        <b/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Colour, Red dotted patch in front floral print Sleeves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</si>
  <si>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Ajrakh patch &amp; latkans, light thread work, Mirror work</t>
    </r>
  </si>
  <si>
    <r>
      <rPr>
        <b/>
        <sz val="11"/>
        <color rgb="FFFF0000"/>
        <rFont val="Calibri"/>
        <family val="2"/>
      </rPr>
      <t xml:space="preserve">Green-White </t>
    </r>
    <r>
      <rPr>
        <sz val="11"/>
        <color theme="1"/>
        <rFont val="Calibri"/>
        <family val="2"/>
      </rPr>
      <t>batik kurti both side Maroon silk patch with KATHA work</t>
    </r>
  </si>
  <si>
    <r>
      <rPr>
        <b/>
        <sz val="11"/>
        <color rgb="FFFF0000"/>
        <rFont val="Calibri"/>
        <family val="2"/>
      </rPr>
      <t xml:space="preserve">Brown-White </t>
    </r>
    <r>
      <rPr>
        <sz val="11"/>
        <color theme="1"/>
        <rFont val="Calibri"/>
        <family val="2"/>
      </rPr>
      <t>batik kurti both side Maroon silk patch with KATHA work</t>
    </r>
  </si>
  <si>
    <r>
      <rPr>
        <b/>
        <sz val="11"/>
        <color rgb="FFFF0000"/>
        <rFont val="Calibri"/>
        <family val="2"/>
      </rPr>
      <t>Green</t>
    </r>
    <r>
      <rPr>
        <sz val="11"/>
        <color theme="1"/>
        <rFont val="Calibri"/>
        <family val="2"/>
      </rPr>
      <t xml:space="preserve"> colour, PEN Kalamkari, Mirror work</t>
    </r>
  </si>
  <si>
    <r>
      <rPr>
        <b/>
        <sz val="11"/>
        <color rgb="FFFF0000"/>
        <rFont val="Calibri"/>
        <family val="2"/>
      </rPr>
      <t>Mustard yellow</t>
    </r>
    <r>
      <rPr>
        <sz val="11"/>
        <color theme="1"/>
        <rFont val="Calibri"/>
        <family val="2"/>
      </rPr>
      <t xml:space="preserve"> colour, PEN Kalamkari, Mirror work</t>
    </r>
  </si>
  <si>
    <r>
      <rPr>
        <b/>
        <sz val="11"/>
        <color rgb="FFFF0000"/>
        <rFont val="Calibri"/>
        <family val="2"/>
      </rPr>
      <t xml:space="preserve">Rani </t>
    </r>
    <r>
      <rPr>
        <sz val="11"/>
        <color theme="1"/>
        <rFont val="Calibri"/>
        <family val="2"/>
      </rPr>
      <t>Colour with offwhite Strips, Light thread work, Round Neck</t>
    </r>
  </si>
  <si>
    <r>
      <rPr>
        <b/>
        <sz val="11"/>
        <color rgb="FFFF0000"/>
        <rFont val="Calibri"/>
        <family val="2"/>
      </rPr>
      <t>Lght Green</t>
    </r>
    <r>
      <rPr>
        <sz val="11"/>
        <color theme="1"/>
        <rFont val="Calibri"/>
        <family val="2"/>
      </rPr>
      <t xml:space="preserve"> Colour with offwhite Strips, Light thread work, Round Neck</t>
    </r>
  </si>
  <si>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with Orange &amp; Black Thread work, Mirror work in front</t>
    </r>
  </si>
  <si>
    <r>
      <rPr>
        <b/>
        <sz val="11"/>
        <color rgb="FFFF0000"/>
        <rFont val="Calibri"/>
        <family val="2"/>
      </rPr>
      <t>Ochre Yellow</t>
    </r>
    <r>
      <rPr>
        <sz val="11"/>
        <color theme="1"/>
        <rFont val="Calibri"/>
        <family val="2"/>
      </rPr>
      <t xml:space="preserve"> with Red &amp; Black Thread work, Mirror work in front</t>
    </r>
  </si>
  <si>
    <r>
      <rPr>
        <b/>
        <sz val="11"/>
        <color rgb="FFFF0000"/>
        <rFont val="Calibri"/>
        <family val="2"/>
      </rPr>
      <t xml:space="preserve">DarkBlue </t>
    </r>
    <r>
      <rPr>
        <sz val="11"/>
        <rFont val="Calibri"/>
        <family val="2"/>
      </rPr>
      <t>colour,</t>
    </r>
    <r>
      <rPr>
        <sz val="11"/>
        <color theme="1"/>
        <rFont val="Calibri"/>
        <family val="2"/>
      </rPr>
      <t xml:space="preserve"> Round neck, Heavy thread &amp; mirror work, Modal Dupatta, Blue modal Stright Pant 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</si>
  <si>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V Neck, Black &amp; White Flower Print</t>
    </r>
  </si>
  <si>
    <t>19-729</t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</si>
  <si>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Batik kurti, Ajrakh Patch, light thread work with kori, Round neck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</si>
  <si>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Square neck, Ajrakh patch front and bottom, Light thread work</t>
    </r>
  </si>
  <si>
    <t>Red colour, V neck, Ajrakh patch and Mirror Work at the neckline, small floral print</t>
  </si>
  <si>
    <r>
      <rPr>
        <b/>
        <sz val="11"/>
        <color rgb="FFFF0000"/>
        <rFont val="Calibri"/>
        <family val="2"/>
      </rPr>
      <t>Light Green</t>
    </r>
    <r>
      <rPr>
        <sz val="11"/>
        <color theme="1"/>
        <rFont val="Calibri"/>
        <family val="2"/>
      </rPr>
      <t xml:space="preserve"> colour, Light lace work in front, All over Floral print</t>
    </r>
  </si>
  <si>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colour, Round neck, Black patch with Floral embroidery in frant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</si>
  <si>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 xml:space="preserve"> colour, V neck, Ajrakh patch and Mirror Work at the neckline, small floral print</t>
    </r>
  </si>
  <si>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colour, shirt collar, Katha work at the collar, Front pocket and wooden show buttons</t>
    </r>
  </si>
  <si>
    <r>
      <rPr>
        <b/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Colour, Kalamkari and thred work at the neckline, patch work</t>
    </r>
  </si>
  <si>
    <r>
      <rPr>
        <b/>
        <sz val="11"/>
        <color rgb="FFFF0000"/>
        <rFont val="Calibri"/>
        <family val="2"/>
      </rPr>
      <t>Purple-Golden</t>
    </r>
    <r>
      <rPr>
        <sz val="11"/>
        <color theme="1"/>
        <rFont val="Calibri"/>
        <family val="2"/>
      </rPr>
      <t xml:space="preserve"> colour, Paan neck, PEN Kalamkari</t>
    </r>
  </si>
  <si>
    <r>
      <rPr>
        <b/>
        <sz val="11"/>
        <color rgb="FFFF0000"/>
        <rFont val="Calibri"/>
        <family val="2"/>
      </rPr>
      <t>Black-Golden</t>
    </r>
    <r>
      <rPr>
        <sz val="11"/>
        <color theme="1"/>
        <rFont val="Calibri"/>
        <family val="2"/>
      </rPr>
      <t xml:space="preserve"> colour, Paan neck, PEN Kalamkari</t>
    </r>
  </si>
  <si>
    <r>
      <rPr>
        <b/>
        <sz val="11"/>
        <color rgb="FFFF0000"/>
        <rFont val="Calibri"/>
        <family val="2"/>
      </rPr>
      <t>Mustard</t>
    </r>
    <r>
      <rPr>
        <sz val="11"/>
        <color theme="1"/>
        <rFont val="Calibri"/>
        <family val="2"/>
      </rPr>
      <t xml:space="preserve"> colour, Round neck, Heavy thread work in front, Ajrakh patch at the bottom</t>
    </r>
  </si>
  <si>
    <r>
      <rPr>
        <b/>
        <sz val="11"/>
        <color rgb="FFFF0000"/>
        <rFont val="Calibri"/>
        <family val="2"/>
      </rPr>
      <t>Black</t>
    </r>
    <r>
      <rPr>
        <sz val="11"/>
        <color theme="1"/>
        <rFont val="Calibri"/>
        <family val="2"/>
      </rPr>
      <t xml:space="preserve"> with Maroon Ajrakh Print, Heavy thread work infront</t>
    </r>
  </si>
  <si>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with rose print with thread work, V neck, Red lace work at the  neckline &amp; bottomline</t>
    </r>
  </si>
  <si>
    <r>
      <rPr>
        <b/>
        <sz val="11"/>
        <color rgb="FFFF0000"/>
        <rFont val="Calibri"/>
        <family val="2"/>
      </rPr>
      <t>Navy Blue</t>
    </r>
    <r>
      <rPr>
        <sz val="11"/>
        <color theme="1"/>
        <rFont val="Calibri"/>
        <family val="2"/>
      </rPr>
      <t xml:space="preserve"> with floral print with thread work, V neck, blue lace work at the neckline &amp; bottomline</t>
    </r>
  </si>
  <si>
    <r>
      <rPr>
        <b/>
        <sz val="11"/>
        <color rgb="FFFF0000"/>
        <rFont val="Calibri"/>
        <family val="2"/>
      </rPr>
      <t>Mustard</t>
    </r>
    <r>
      <rPr>
        <sz val="11"/>
        <color theme="1"/>
        <rFont val="Calibri"/>
        <family val="2"/>
      </rPr>
      <t xml:space="preserve"> colour, shirt collar, light bits &amp; thread work, show buttons in front</t>
    </r>
  </si>
  <si>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Hacoba sleeveless Top, </t>
    </r>
    <r>
      <rPr>
        <b/>
        <sz val="11"/>
        <color rgb="FFFF0000"/>
        <rFont val="Calibri"/>
        <family val="2"/>
      </rPr>
      <t>Maroon</t>
    </r>
    <r>
      <rPr>
        <sz val="11"/>
        <color theme="1"/>
        <rFont val="Calibri"/>
        <family val="2"/>
      </rPr>
      <t xml:space="preserve"> Ajrakh Pencil skirt</t>
    </r>
  </si>
  <si>
    <r>
      <rPr>
        <b/>
        <sz val="11"/>
        <color rgb="FFFF0000"/>
        <rFont val="Calibri"/>
        <family val="2"/>
      </rPr>
      <t>Red</t>
    </r>
    <r>
      <rPr>
        <sz val="11"/>
        <color theme="1"/>
        <rFont val="Calibri"/>
        <family val="2"/>
      </rPr>
      <t>, Shirt collar, Sleeveless, multicolour print</t>
    </r>
  </si>
  <si>
    <r>
      <rPr>
        <b/>
        <sz val="11"/>
        <color rgb="FFFF0000"/>
        <rFont val="Calibri"/>
        <family val="2"/>
      </rPr>
      <t>Blue</t>
    </r>
    <r>
      <rPr>
        <sz val="11"/>
        <color theme="1"/>
        <rFont val="Calibri"/>
        <family val="2"/>
      </rPr>
      <t xml:space="preserve"> colour, Round neck, White patch work with print and thread work</t>
    </r>
  </si>
  <si>
    <r>
      <t xml:space="preserve">Shirt Coller, Sleeveless, </t>
    </r>
    <r>
      <rPr>
        <b/>
        <sz val="11"/>
        <color rgb="FFFF0000"/>
        <rFont val="Calibri"/>
        <family val="2"/>
      </rPr>
      <t>Offwhite</t>
    </r>
    <r>
      <rPr>
        <sz val="11"/>
        <color theme="1"/>
        <rFont val="Calibri"/>
        <family val="2"/>
      </rPr>
      <t xml:space="preserve"> with LEAF Print</t>
    </r>
  </si>
  <si>
    <t>Steel Blue with white Flower print, Sleeveless , round neck, same print stright pant</t>
  </si>
  <si>
    <t>title</t>
  </si>
  <si>
    <t>email</t>
  </si>
  <si>
    <t>address</t>
  </si>
  <si>
    <t>city</t>
  </si>
  <si>
    <t>state</t>
  </si>
  <si>
    <t>country</t>
  </si>
  <si>
    <t>exhibition</t>
  </si>
  <si>
    <t>customer_type</t>
  </si>
  <si>
    <t>notes</t>
  </si>
  <si>
    <t>birthday</t>
  </si>
  <si>
    <t>anniversary</t>
  </si>
  <si>
    <t>shop_name</t>
  </si>
  <si>
    <t>landmark</t>
  </si>
  <si>
    <t>minimum_purchase</t>
  </si>
  <si>
    <t>timings</t>
  </si>
  <si>
    <t>9836374668(M),7980375359(W)</t>
  </si>
  <si>
    <t>Rapid Aline Kurti, In ochre yellow olive and blue rapid print, Shirt collar, one side pocket, wooden show buttons in front, slit at the end</t>
  </si>
  <si>
    <t>Ajrakh Aline Kurti, White colour with red black and blue ajrakh hand printed, Shirt collar, one side pocket, wooden show buttons in front, slit at the end</t>
  </si>
  <si>
    <t>V neck , Quarter sleeves, robin blue, red and golden Havey thread and bites work</t>
  </si>
  <si>
    <t>V neck , Quarter sleeves, Pesta Green colour, red and golden Havey thread and bites work</t>
  </si>
  <si>
    <t>V neck , Quarter sleeves, Rani Pink colour, Yellow and golden Havey thread and bites work</t>
  </si>
  <si>
    <t>V neck , Quarter sleeves, White colour, red and golden Havey thread and bites work</t>
  </si>
  <si>
    <t>V neck, Purple Colour, Golden and White Havey  bites work</t>
  </si>
  <si>
    <t>V neck, Lavender Colour, Golden, pink and yellow Havey  bites and thread work</t>
  </si>
  <si>
    <t>Red, Angrakha pattern ,all over Benarasi work</t>
  </si>
  <si>
    <t>Blazer collar Black Top &amp; Maroon pencil skirt</t>
  </si>
  <si>
    <t>V Neck with collar, Red colour with Ajrakh Print Kurti</t>
  </si>
  <si>
    <t>V neck, Rani Colour kurti, Kardana work at the neck line</t>
  </si>
  <si>
    <t>V neck, Blue Colour kurti, Kardana work at the neck line</t>
  </si>
  <si>
    <t>Shirt Collar Blue colour co-ord set, kardana work at the collar</t>
  </si>
  <si>
    <t>V Neck, Rani colour, Golden Thread (Muksh)work at the neck line</t>
  </si>
  <si>
    <t>V neck, Black colour kurti,  pure modal silk,Ajrakh Print</t>
  </si>
  <si>
    <t>Round Neck, Pink colour kurti thread work at the neck line</t>
  </si>
  <si>
    <t>V Neck, Orange colour kurti with all over floral print thread work at the neck line</t>
  </si>
  <si>
    <t>V Neck, Green colour kurti with all over floral print thread work at the neck line</t>
  </si>
  <si>
    <t>Black-Orange, Shirt collar, Sleeveless, floral print</t>
  </si>
  <si>
    <t>Rani, Shirt collar, Sleeveless</t>
  </si>
  <si>
    <t>Black, Shirt collar, Sleeveless</t>
  </si>
  <si>
    <t>Shirt Collar Multi Colour Kurta with Pink Afgani Pant</t>
  </si>
  <si>
    <t>Rani colour with budni print , punjabi collar</t>
  </si>
  <si>
    <t>Rani colour with floral print Kurti , Round neck, Zardozi Work</t>
  </si>
  <si>
    <t>V Neck,  Multi Colour Cord set with mirror work on the neck line</t>
  </si>
  <si>
    <t>Mustard Yellow Colour, Lucknow chikankari kurti</t>
  </si>
  <si>
    <t>V neck, White colour,Floral print, White thread work on the neck line</t>
  </si>
  <si>
    <t>V neck, Magenta colour, Floral print, White thread work on the neck line</t>
  </si>
  <si>
    <t>Blazer collar Blue Top &amp; Maroon pencil skirt</t>
  </si>
  <si>
    <t>White kurti with red patch in front and sleeves, Round nack</t>
  </si>
  <si>
    <t>Red kurti with White patch in front and sleeves, Round nack</t>
  </si>
  <si>
    <t>Zed black, V neck, multi colour thread work, Kashmiri style</t>
  </si>
  <si>
    <t>BLUE, Angrakha style, V Neck, ikat style, Red patch, thread work</t>
  </si>
  <si>
    <t>Red colour, Round Neck, ikat style, White patch with thread work in front</t>
  </si>
  <si>
    <t>Black colour, Angrakha style, V Neck, Red Jamdani work</t>
  </si>
  <si>
    <t>White colour, Angrakha style, V Neck, Red Jamdani work</t>
  </si>
  <si>
    <t>Steel Blue kurti , threadwork in front</t>
  </si>
  <si>
    <t>Yellow kurti with floral print , light threadwork in front</t>
  </si>
  <si>
    <t>red with different colour cloth patch , round neck, thread work on the neck line</t>
  </si>
  <si>
    <t>Zed black, Round neck, golden and pinki colour thread work</t>
  </si>
  <si>
    <t>Blue with White, pink, yellow Flower, Round Neck, Quarter sleeves + Dupatta</t>
  </si>
  <si>
    <t>Mustard Yellow Colour with Goldal Work, Benarasi Dupatta</t>
  </si>
  <si>
    <t>Black with green leaves, Shirt collar</t>
  </si>
  <si>
    <t>Orange with yellow leaves, Shirt collar</t>
  </si>
  <si>
    <t>Bottle Green light thin strips</t>
  </si>
  <si>
    <t>Chandan Colour Moslin with red border</t>
  </si>
  <si>
    <t>V Neck, Maroon Colour, Floral print and thread work at the neck line</t>
  </si>
  <si>
    <t>V Neck, Bottle Green Colour, Floral print and thread work at the neck line</t>
  </si>
  <si>
    <t>Rani, Shirt collar, Sleeveless, floral Print</t>
  </si>
  <si>
    <t>Round Neck, Pink with White strip</t>
  </si>
  <si>
    <t>Round Neck, Green with White strip</t>
  </si>
  <si>
    <t>Round neck, Wine colour,  all over white thread work</t>
  </si>
  <si>
    <t>Round neck, Gray-Maroon-Black colour with Ajrakh Patch</t>
  </si>
  <si>
    <t>Round neck, Pink-Green colour south Cotton</t>
  </si>
  <si>
    <t>Round Neck, Black colour with Ajrakh print, White hacoba patch in front</t>
  </si>
  <si>
    <t>Round neck, Rani colour Black Ajrakh patch, thread work in front</t>
  </si>
  <si>
    <t>Round Neck, Steel Blue, Angrakha style kurti, light thread work in front</t>
  </si>
  <si>
    <t>V neck, Black colour with white print, Light Thread work at the neck line</t>
  </si>
  <si>
    <t>Dark Blue Colour with multicolour thread Work in front, Seagreen Benarasi Dupatta</t>
  </si>
  <si>
    <t>V neck, Blue Colour with floral print, All over KANTHA work</t>
  </si>
  <si>
    <t>NAVY Blue Ajrakh print V neck , laces work at the neck line</t>
  </si>
  <si>
    <t>Yellow Colour, All over Ajrak patch with thread work in front, Angrakha Style</t>
  </si>
  <si>
    <t>Maroon Kalamkari Noodle Kurti With Off White Hacoba Jacket</t>
  </si>
  <si>
    <t>Blazer collar Rani Top &amp; Bottle Green pencil skirt</t>
  </si>
  <si>
    <t>Yelllow colour with all over green print, Round neck light thread work in front</t>
  </si>
  <si>
    <t>Black-Maroon colour, V neck, light thread work in front</t>
  </si>
  <si>
    <t>Black colour, Round V neck, light thread work in front, kalamkari patch at the nackline, patch work in front</t>
  </si>
  <si>
    <t>Black -Gray Angrakha Style, Dabu patch, Fish and folwer Aplic work in front</t>
  </si>
  <si>
    <t>Maroon colour, Ajrak print, V neck, thread work at the neckline</t>
  </si>
  <si>
    <t>Blue &amp; Orange check print saree</t>
  </si>
  <si>
    <t>Black with Rainbow colours</t>
  </si>
  <si>
    <t>Red-Black-White checks with Red Border</t>
  </si>
  <si>
    <t>Pink-Black-White checks with Pink Border</t>
  </si>
  <si>
    <t>White with Red velvat border,Red colour light thread work</t>
  </si>
  <si>
    <t>White &amp; Red small checks, Red border, red &amp; Yellow colour light thread work</t>
  </si>
  <si>
    <t>White &amp; SkyBlue small checks, SkyBlue Velvet border, Yellow colour light thread work</t>
  </si>
  <si>
    <t>Green &amp; Red small checks, Red Velvet border, Yellow colour thread work</t>
  </si>
  <si>
    <t>white dhuti pant</t>
  </si>
  <si>
    <t>Red colour,V neck Big white floral print, Thread work at the neckline</t>
  </si>
  <si>
    <t>SEA Green, V neck, Thredwork at the neckline,  Floral Print</t>
  </si>
  <si>
    <t>Pink, V neck, Thredwork at the neckline, Floral Print</t>
  </si>
  <si>
    <t>Off White, Shirt collar, Sleeveless</t>
  </si>
  <si>
    <t>Red colour, Ajrakh Patch at thr neckline, mirror work &amp;thread work</t>
  </si>
  <si>
    <t>light Blue colour with dark blue patch, thread work</t>
  </si>
  <si>
    <t>OFF White, V Neck, Floral Print, Sleeveless</t>
  </si>
  <si>
    <t>Musterd Yellow, Bandni Print, Round Neck, Thread Work in front</t>
  </si>
  <si>
    <t>Black colour, Printed, thin patch with thread work at the neck line, Angrakha Style</t>
  </si>
  <si>
    <t>Yellow colour, Round neck Kurti</t>
  </si>
  <si>
    <t>Black colour, Round Neck, Red patch with heavy Thread work in front</t>
  </si>
  <si>
    <t>Black Kurti V neck, Maroon patch both side and hands, maroon patch at the back, Angrakha style</t>
  </si>
  <si>
    <t>Blue-Ochre Yellow colour, Round Neck, Krishna Print</t>
  </si>
  <si>
    <t>Red colour Top Sleeveless, V Neck, thread work at the neck line, Black Skirt Thread work at the bottom</t>
  </si>
  <si>
    <t>Purple colour,V neck, All Over KATHA work</t>
  </si>
  <si>
    <t>Lavender colour,V neck, All Over KATHA work</t>
  </si>
  <si>
    <t>Pink, Round Neck, Printed</t>
  </si>
  <si>
    <t>Yellow, Round Neck, Printed</t>
  </si>
  <si>
    <t>Red, Round Neck, Printed</t>
  </si>
  <si>
    <t>Black, Round Neck, Printed</t>
  </si>
  <si>
    <t>Black Colour Floral Print, Reverse Collar With side String</t>
  </si>
  <si>
    <t>Red Colour Floral Print, Reverse Collar With side String</t>
  </si>
  <si>
    <t>Blue Colour All over Floral Print</t>
  </si>
  <si>
    <t>Green Colour All over Floral Print</t>
  </si>
  <si>
    <t>Purple Colour All over Floral Print</t>
  </si>
  <si>
    <t>Red colour, Katha work in front</t>
  </si>
  <si>
    <t>Blazer collar top, white-orange-green printed pencil skirt,</t>
  </si>
  <si>
    <t>Purple colour, Shirt collar, Dabu print , pencil skirt</t>
  </si>
  <si>
    <t>Black with maroon &amp; white print, Ajrakh</t>
  </si>
  <si>
    <t>SeaGreen dress with pink, green &amp; white flower print, Rapid</t>
  </si>
  <si>
    <t>V Neck , Pink colour Mashru top</t>
  </si>
  <si>
    <t>Shirt, Pesta Colour</t>
  </si>
  <si>
    <t>Round Neck T-Shirt, Black Colour, oversize crop top</t>
  </si>
  <si>
    <t>Round Neck top, Sky Blue &amp;white Strips Colour, crop top</t>
  </si>
  <si>
    <t>Round Neck top, Red &amp;white Strips Colour, crop top</t>
  </si>
  <si>
    <t>Army Green colour, Full jump suit</t>
  </si>
  <si>
    <t>4 Pockets, light Sea Green</t>
  </si>
  <si>
    <t>4 Pockets, light Pink</t>
  </si>
  <si>
    <t>Dark Blue colour solid colour co-ord set</t>
  </si>
  <si>
    <t>Round Neck, Quarter Sleeves, Mustard Yellow, leheriya Print</t>
  </si>
  <si>
    <t>DarkGreen with Ajrakh patch in front, Round neck,light thread work</t>
  </si>
  <si>
    <t>Black Kurti,  Round neck, Multi colour heavy thread work</t>
  </si>
  <si>
    <t>OffWhite Kurti, Round Neck, work with  fabric colours</t>
  </si>
  <si>
    <t>DarkGreen  full length Sleeveless offwhite threadwork</t>
  </si>
  <si>
    <t>Yellow colour, Angrakha Pattarn red patch with Black Aplic work</t>
  </si>
  <si>
    <t>Rust colour V neck, Modal Ajrakh patch on Shoulder With mirror</t>
  </si>
  <si>
    <t>Rust colour Round neck, Modal Ajrakh patch on both side With mirror</t>
  </si>
  <si>
    <t>White colour, round neck, silver bits &amp; pink floral thread work</t>
  </si>
  <si>
    <t>Black colour, round neck, silver bits, pink &amp; green floral thread work</t>
  </si>
  <si>
    <t>Green kurti, round neck, thin modal patch with mirror work</t>
  </si>
  <si>
    <t>Navy Blue with red print, Shirt collar, Sleeveless, wooden button</t>
  </si>
  <si>
    <t>Green colour, round neck, Red thread work</t>
  </si>
  <si>
    <t>Yellow colour, brown print, V neck</t>
  </si>
  <si>
    <t>Maroon colour, Angrakha style, white colour very light work</t>
  </si>
  <si>
    <t>White colour, Angrakha style, V Neck, Black-Red Jamdani work</t>
  </si>
  <si>
    <t>Ochre Yellow colour, Maroon Modal &amp;Cotton Patch, Light thread work</t>
  </si>
  <si>
    <t>Robin Blue colour with white havy thread work</t>
  </si>
  <si>
    <t>Black colour,  Maroon Ajrakh patch at neckline and Pockets</t>
  </si>
  <si>
    <t>Maroon colour,  Maroon Ajrakh patch at neckline and Pockets</t>
  </si>
  <si>
    <t>OffWhite colour, Round neck, Ajrakh patch in frant</t>
  </si>
  <si>
    <t>RED colour, Round neck, Ajrakh patch in frant</t>
  </si>
  <si>
    <t>Purple colour, Round neck, Modal patch in front &amp; sleeves, green colour light thread work</t>
  </si>
  <si>
    <t>Red colour, V neck, Modal patch &amp; Mirror work at the neck line, Modal patch at front and sleeves</t>
  </si>
  <si>
    <t>Blue colour, V neck, Modal patch &amp; Mirror work at the neck line, Modal patch at front and sleeves</t>
  </si>
  <si>
    <t>Purple colour with white havy thread work</t>
  </si>
  <si>
    <t>Orange colour, Round neck, All over modal Patch in front</t>
  </si>
  <si>
    <t>Gray colour, pink &amp; Rani thread work at front, V neck</t>
  </si>
  <si>
    <t>Army Green  with all over white print, V neck  lace work at neck line</t>
  </si>
  <si>
    <t>DarkGreen  with all over white &amp; red print, V neck  lace work at neck line</t>
  </si>
  <si>
    <t>Navy Blue  with all over white print, V neck  lace work at neck line</t>
  </si>
  <si>
    <t>Black dress, Squre neck, full gown</t>
  </si>
  <si>
    <t>Black colour,round neck, Ajrakh patch in front with mirror work</t>
  </si>
  <si>
    <t>Black colour, V neck, white thread work with mirror work in front</t>
  </si>
  <si>
    <t>Black colour, V neck, white lace work and white patch in front</t>
  </si>
  <si>
    <t>White Kurti ,Black Ajrekh print in front with light mirror work</t>
  </si>
  <si>
    <t>Maroon Kurti ,White Ajrekh print in front with light mirror work</t>
  </si>
  <si>
    <t>Black with Gray Thread work</t>
  </si>
  <si>
    <t>Rust colour with white print coord set, chinese collar, Light Thread Work</t>
  </si>
  <si>
    <t>Yellow colour jamdani print, Shirt collar</t>
  </si>
  <si>
    <t>Maroon colour jamdani print, Shirt collar</t>
  </si>
  <si>
    <t>Black with White Print, Pink Batik patch in front, V neck, light thread and lace work in front</t>
  </si>
  <si>
    <t>Maroon with White Print, Black Batik patch in front, V neck, light thread and lace work in front</t>
  </si>
  <si>
    <t>Yellow with White Print, Black Batik patch in front, V neck, light thread and lace work in front</t>
  </si>
  <si>
    <t>Lavender colour,Round neck, White colour Print, light thread work in front</t>
  </si>
  <si>
    <t>Green colour,Round neck, White colour Print, light thread work in front</t>
  </si>
  <si>
    <t>Dark Green with yellow Batik patch at the neck line, Puffed Sleeves, V neck, Durga Print in front</t>
  </si>
  <si>
    <t>Maroon with Black Batik patch at the neck line, Puffed Sleeves, V neck, Durga Print in front</t>
  </si>
  <si>
    <t>Blue, Ajrakh print</t>
  </si>
  <si>
    <t>Maroon, Ajrakh print</t>
  </si>
  <si>
    <t>Black, Ajrakh print</t>
  </si>
  <si>
    <t>Red colour with heavy white thread work</t>
  </si>
  <si>
    <t>Blue colour with heavy white thread work</t>
  </si>
  <si>
    <t>Gray colour with white thread work, Round Neck, chikonkari, mirror work , cotton Inner</t>
  </si>
  <si>
    <t>Mustard colour, Batik print, Round neck, light thread work</t>
  </si>
  <si>
    <t>White Check kurti with Black patch in front, KATHA stitch in front</t>
  </si>
  <si>
    <t>Black Check kurti with White patch in front, KATHA stitch in front</t>
  </si>
  <si>
    <t>Gray colour with self colour thread work , Quarter sleeves, Round neck</t>
  </si>
  <si>
    <t>Sea Green colour, Heavy White Thread Work in Front</t>
  </si>
  <si>
    <t>Gray colour, Heavy White Thread Work in Front</t>
  </si>
  <si>
    <t>Black colour, White Thread work in front</t>
  </si>
  <si>
    <t>Maroon colour,  Black Ajrakh patch at neckline and Pockets</t>
  </si>
  <si>
    <t>White colour,  Black Ajrakh patch at neckline and Pockets</t>
  </si>
  <si>
    <t>Blue &amp; Gray kalamkari Print,V Neck One side Pocket, Belt at the Back</t>
  </si>
  <si>
    <t>OffWhite colour, V neck, Ajrakh patch in frant</t>
  </si>
  <si>
    <t>Yellow colour, V neck, Ajrakh patch in frant</t>
  </si>
  <si>
    <t>Green colour, V neck, Ajrakh patch in frant</t>
  </si>
  <si>
    <t>BLECK dress, Squre neck, full gown</t>
  </si>
  <si>
    <t>Tute colour, Round neck, rani orange fabric print, light thread work</t>
  </si>
  <si>
    <t>Navy Blue colour dress, Quarter Sleeves,  kasmiri work jacket</t>
  </si>
  <si>
    <t>Olive colour, offwhite print with light thread work</t>
  </si>
  <si>
    <t>Dark Green colour with lace work and ajrakh print, V neck, Quarter sleeves</t>
  </si>
  <si>
    <t>Dark Blue colour, Ajrakh patch in front and sleeves, light mirrorwork in front</t>
  </si>
  <si>
    <t>Rani colour with white havy thread work</t>
  </si>
  <si>
    <t>Skyblue colour, V neck, lace work at the neckline</t>
  </si>
  <si>
    <t>Black colour, round neck, Red thread work with lace work in front, Hacoba puff sleeves</t>
  </si>
  <si>
    <t>Green colour, V neck, lace work and Hacoba patch at thr neck, Hacoba puff sleeves</t>
  </si>
  <si>
    <t>Black colour, V neck, lace work and Hacoba patch at thr neck, Hacoba puff sleeves</t>
  </si>
  <si>
    <t>Dark Green colour, round neck, White thread work with lace work in front, Hacoba puff sleeves</t>
  </si>
  <si>
    <t>Off white colour, round neck, All over red black katha work, red  black thread work infront with light thread work</t>
  </si>
  <si>
    <t>Black colour, Round neck, Ajrakh Patch on the sleeves</t>
  </si>
  <si>
    <t>Steel blue colour with thread work, Square  neck Dress, Yellow Hakoba and Lace Work in Front</t>
  </si>
  <si>
    <t>Black  Colour Ikat Print, Round neck, Ajrakh patch, thread and mirror work in front</t>
  </si>
  <si>
    <t>Black colour, Round V Neck, Ajrakh Patch and Mirror work in front</t>
  </si>
  <si>
    <t>Rani colour, Round Neck, Blue Ajrakh Patch and mirror work</t>
  </si>
  <si>
    <t>Red colour, V Neck, Black &amp; White Flower Print,</t>
  </si>
  <si>
    <t>Steel Blue colour Batik Print, Light thread work</t>
  </si>
  <si>
    <t>Steel Blue colour Golden pipeing, Golden thread work</t>
  </si>
  <si>
    <t>White colour with maroon Print with thread work in front</t>
  </si>
  <si>
    <t>Yellow coloue with FISH thread work in front lower part Black colour with print</t>
  </si>
  <si>
    <t>Black coloue with FISH thread work in front Yellow colour with Butic print patch center</t>
  </si>
  <si>
    <t>Olive Green with floral print, Shirt collar, Sleeveless</t>
  </si>
  <si>
    <t>White colour, Round with V neck, Light thread work at the neckline, GANCHA Aplic in front Puffed sleeves</t>
  </si>
  <si>
    <t>Bottle Green colour, Round with V neck, Light thread work at the neckline, GANCHA Aplic in front, Puffed sleeves</t>
  </si>
  <si>
    <t>Red colour, Round with V neck, Light thread work at the neckline, GANCHA Aplic in front, Puffed sleeves</t>
  </si>
  <si>
    <t>Musterd colour, Round with V neck, Light thread work at the neckline, GANCHA Aplic in front, Puffed sleeves</t>
  </si>
  <si>
    <t>Red colour, Round neck, Ajrakh patch at the neckline, Light mirror work in front, Puffed sleeves, Ajrakh patch at the bottom</t>
  </si>
  <si>
    <t>Blue colour, Round neck, Ajrakh patch at the neckline, Light mirror work in front, Puffed sleeves, Ajrakh patch at the bottom</t>
  </si>
  <si>
    <t>Light Green colour Batik Print, Light thread work in front</t>
  </si>
  <si>
    <t>Pink colour Batik Print, Light thread work in front</t>
  </si>
  <si>
    <t>Purple colour Batik Print, Light thread work in front</t>
  </si>
  <si>
    <t>Black colour, Round Neck, Jamdani work, Glass Sleeves, Colourfull patch at the back</t>
  </si>
  <si>
    <t>Red colour, Round Neck, Jamdani work, Glass Sleeves, Colourfull patch at the back</t>
  </si>
  <si>
    <t>White colour, Round Neck, Jamdani work, Glass Sleeves, Colourfull patch at the back</t>
  </si>
  <si>
    <t>Purple dress, Squre neck, full gown</t>
  </si>
  <si>
    <t>Black colour  gown, V neck, Big white flower on the sleeves and bottom</t>
  </si>
  <si>
    <t>Red colour, Angrakha style, white colour threasd work at one side</t>
  </si>
  <si>
    <t>Maroon with Orange Thread work</t>
  </si>
  <si>
    <t>Lemon yellow, Rajasthani print patch in front</t>
  </si>
  <si>
    <t>Purple colour Maheesh kurti, Angrakha style, mirror work in front with Patch work</t>
  </si>
  <si>
    <t>Blue colour Maheesh kurti, Angrakha style,  mirror work in front with Patch work</t>
  </si>
  <si>
    <t>Wine colour, V neck, white floral print, Quarter sleeves</t>
  </si>
  <si>
    <t>Olive Green with white colour print, Shirt collar</t>
  </si>
  <si>
    <t>Danim Blue colour, Chinese collar, show bottons in front</t>
  </si>
  <si>
    <t>Bottle Green colour, V neck, All over Jamdani work with kalamkari patch</t>
  </si>
  <si>
    <t>Black colour, Angrakha style, Katha work with Lace work at the nack line</t>
  </si>
  <si>
    <t>Blue colour, Hacoba &amp; Ajrakh patch, mirror work, Round neck</t>
  </si>
  <si>
    <t>White Colour, red blue Ajrakh patch, V neck</t>
  </si>
  <si>
    <t>Rani colour, Round with V Neck, white floral Patch in front</t>
  </si>
  <si>
    <t>Bottle Green colour, Round with V Neck, white floral Patch in front</t>
  </si>
  <si>
    <t>Yellow colour, Round with V Neck, white floral Patch in front</t>
  </si>
  <si>
    <t>Red colour, All over KATHA work, Hacoba Shirt collar, Show Buttons in front Hacoba sleeves</t>
  </si>
  <si>
    <t>Grayish Blue colour, White patch with 3 Butterfly in front</t>
  </si>
  <si>
    <t>Black colour, Round neck, Ajrakh Patch with light thread work in front and mirror work</t>
  </si>
  <si>
    <t>Gray TOP with Dark Green  light thread work and mirror work, Dark green cotton pant and Dupatta</t>
  </si>
  <si>
    <t>Mustard yellow colour, All over white thread  work, Hacoba Shirt collar</t>
  </si>
  <si>
    <t>Mustard yellow colour, Black Gamcha patch with kori and thread work</t>
  </si>
  <si>
    <t>Navy Blue Colour, Red dotted patch in front floral print Sleeves</t>
  </si>
  <si>
    <t>Black with Ajrakh patch &amp; latkans, light thread work, Mirror work</t>
  </si>
  <si>
    <t>Green-White batik kurti both side Maroon silk patch with KATHA work</t>
  </si>
  <si>
    <t>Brown-White batik kurti both side Maroon silk patch with KATHA work</t>
  </si>
  <si>
    <t>Green colour, PEN Kalamkari, Mirror work</t>
  </si>
  <si>
    <t>Mustard yellow colour, PEN Kalamkari, Mirror work</t>
  </si>
  <si>
    <t>Rani Colour with offwhite Strips, Light thread work, Round Neck</t>
  </si>
  <si>
    <t>Lght Green Colour with offwhite Strips, Light thread work, Round Neck</t>
  </si>
  <si>
    <t>Maroon with Orange &amp; Black Thread work, Mirror work in front</t>
  </si>
  <si>
    <t>Ochre Yellow with Red &amp; Black Thread work, Mirror work in front</t>
  </si>
  <si>
    <t>Red colour, V Neck, Black &amp; White Flower Print</t>
  </si>
  <si>
    <t>Black Batik kurti, Ajrakh Patch, light thread work with kori, Round neck</t>
  </si>
  <si>
    <t>Red colour, Square neck, Ajrakh patch front and bottom, Light thread work</t>
  </si>
  <si>
    <t>OffWhite colour, Round neck, Black patch with Floral embroidery in frant</t>
  </si>
  <si>
    <t>Light Green colour, Light lace work in front, All over Floral print</t>
  </si>
  <si>
    <t>Offwhite colour, shirt collar, Katha work at the collar, Front pocket and wooden show buttons</t>
  </si>
  <si>
    <t>Navy Blue Colour, Kalamkari and thred work at the neckline, patch work</t>
  </si>
  <si>
    <t>Purple-Golden colour, Paan neck, PEN Kalamkari</t>
  </si>
  <si>
    <t>Black-Golden colour, Paan neck, PEN Kalamkari</t>
  </si>
  <si>
    <t>Mustard colour, Round neck, Heavy thread work in front, Ajrakh patch at the bottom</t>
  </si>
  <si>
    <t>Black with Maroon Ajrakh Print, Heavy thread work infront</t>
  </si>
  <si>
    <t>Offwhite with rose print with thread work, V neck, Red lace work at the  neckline &amp; bottomline</t>
  </si>
  <si>
    <t>Navy Blue with floral print with thread work, V neck, blue lace work at the neckline &amp; bottomline</t>
  </si>
  <si>
    <t>Mustard colour, shirt collar, light bits &amp; thread work, show buttons in front</t>
  </si>
  <si>
    <t>Red, Shirt collar, Sleeveless, multicolour print</t>
  </si>
  <si>
    <t>Blue colour, Round neck, White patch work with print and thread work</t>
  </si>
  <si>
    <t>Sea green with red flower</t>
  </si>
  <si>
    <t>Round Neck</t>
  </si>
  <si>
    <t>Gray Long shrug, Bright green colour inside, Round neck, sleeveless inside and 3 quarter sleeves shrug</t>
  </si>
  <si>
    <t>Bright green colour inside</t>
  </si>
  <si>
    <t>Round neck</t>
  </si>
  <si>
    <t>Gray Long shrug; sleeveless inside and 3 quarter sleeves shrug</t>
  </si>
  <si>
    <t>Ochre Yellow Long shrug; Black colour inside</t>
  </si>
  <si>
    <t>shrug is in ochre colour with maroon colour print</t>
  </si>
  <si>
    <t>Round neck sleeveless inside and 3 quarter sleeves shrug</t>
  </si>
  <si>
    <t>In ochre yellow olive and blue rapid print</t>
  </si>
  <si>
    <t>Rapid Aline Kurti; Shirt collar; one side pocket; wooden show buttons in front; slit at the end</t>
  </si>
  <si>
    <t>White colour with red black and blue ajrakh hand printed</t>
  </si>
  <si>
    <t>Ajrakh Aline Kurti; Shirt collar; one side pocket; wooden show buttons in front; slit at the end</t>
  </si>
  <si>
    <t>Quarter Sleeves Kurti</t>
  </si>
  <si>
    <t>Magenta colour with model silk print border</t>
  </si>
  <si>
    <t>V neck</t>
  </si>
  <si>
    <t>Malai Cotton Kurti; model silk border; one side pocket; 3 quarter sleeves; both sides slit at the end</t>
  </si>
  <si>
    <t>Bottle green colour with model silk print border</t>
  </si>
  <si>
    <t>Malai Cotton Kurti; one side pocket; 3 quarter sleeves; both sides slit at the end</t>
  </si>
  <si>
    <t>3 Piece Co-Ord Set</t>
  </si>
  <si>
    <t>White with green floral print</t>
  </si>
  <si>
    <t>3 Piece co-ord set; straight paint; noodle top; long shrug</t>
  </si>
  <si>
    <t>White with orange floral print</t>
  </si>
  <si>
    <t>Boyfrnd dress, White strip on Red colour, Shirt collar button in fount</t>
  </si>
  <si>
    <t>White strip on Red colour</t>
  </si>
  <si>
    <t>Boyfrnd dress; Shirt collar button in fount</t>
  </si>
  <si>
    <t>Boyfrnd dress, White strip on Black Colour, Shirt collar button in fount</t>
  </si>
  <si>
    <t>White strip on Black Colour</t>
  </si>
  <si>
    <t>short shrug maroon Ajrakh print</t>
  </si>
  <si>
    <t>Round neck sleeveless inside and 3 quarter sleeves short shrug</t>
  </si>
  <si>
    <t>Red; short shrug Rapid print short shrug in sea green colour with red colour rapid print</t>
  </si>
  <si>
    <t>sleeveless inside and 3 quarter sleeves short shrug</t>
  </si>
  <si>
    <t>Yellow; with short shrug in dark green with yellow colour rapid print</t>
  </si>
  <si>
    <t>Yellow; green floral</t>
  </si>
  <si>
    <t>Square neck</t>
  </si>
  <si>
    <t>straight paint; 3 show buttons in Front; sleeveless</t>
  </si>
  <si>
    <t>Sky Blue</t>
  </si>
  <si>
    <t>square neck kurti with 3 show buttons in Front</t>
  </si>
  <si>
    <t>straight paint; sleeveless</t>
  </si>
  <si>
    <t>Black &amp; White Set</t>
  </si>
  <si>
    <t>straight paint; Lace work</t>
  </si>
  <si>
    <t>Shifon</t>
  </si>
  <si>
    <t>Baby Pink</t>
  </si>
  <si>
    <t>mirror work with belt</t>
  </si>
  <si>
    <t>Pink</t>
  </si>
  <si>
    <t>Bandhani Print Gown</t>
  </si>
  <si>
    <t>V neck Blue and white floral print</t>
  </si>
  <si>
    <t>Quarter sleeves</t>
  </si>
  <si>
    <t>V neck Green and white floral print</t>
  </si>
  <si>
    <t>purple colour; Quarter sleeves</t>
  </si>
  <si>
    <t>peach colour; Quarter sleeves</t>
  </si>
  <si>
    <t>Mustard Yellow colour</t>
  </si>
  <si>
    <t>V neck White with Blue flower print</t>
  </si>
  <si>
    <t>Short Top</t>
  </si>
  <si>
    <t>Sleeveless</t>
  </si>
  <si>
    <t>Yellow</t>
  </si>
  <si>
    <t>Green</t>
  </si>
  <si>
    <t>Shirt collar; Sleeveless</t>
  </si>
  <si>
    <t>Sea Green</t>
  </si>
  <si>
    <t>Purple; Sleeveless</t>
  </si>
  <si>
    <t>Blue with White Flower</t>
  </si>
  <si>
    <t>Black with White Flower</t>
  </si>
  <si>
    <t>Red, Round neck, light thread works in front</t>
  </si>
  <si>
    <t>light thread works in front</t>
  </si>
  <si>
    <t>Navy Blue, Round neck, light thread works in front</t>
  </si>
  <si>
    <t>Green, Round neck, light thread works in front</t>
  </si>
  <si>
    <t>Robin Blue, Round neck, light thread works in front</t>
  </si>
  <si>
    <t>Robin Blue</t>
  </si>
  <si>
    <t>Purple with white floral print, Round neck, light thread works in front</t>
  </si>
  <si>
    <t>Purple with white floral print</t>
  </si>
  <si>
    <t>SkyBlue with white floral print, Round neck, light thread works in front</t>
  </si>
  <si>
    <t>SkyBlue with white floral print</t>
  </si>
  <si>
    <t>Yellow with white floral print, round neck, light thread works in front</t>
  </si>
  <si>
    <t>Yellow with white floral print</t>
  </si>
  <si>
    <t>round neck</t>
  </si>
  <si>
    <t>Yellow, kalamkari print, aplic with DUCK thread works in front</t>
  </si>
  <si>
    <t>kalamkari print</t>
  </si>
  <si>
    <t>aplic with DUCK thread works in front</t>
  </si>
  <si>
    <t>Blue, kalamkari print,Round neck, aplic with DUCK thread works in front</t>
  </si>
  <si>
    <t>Blue</t>
  </si>
  <si>
    <t>Green,kalamkari print, Round neck, aplic with DUCK thread works in front</t>
  </si>
  <si>
    <t>Maroon, kalamkari print, Round neck, aplic with DUCK thread works in front</t>
  </si>
  <si>
    <t>Maroon; aplic with DUCK thread works in front</t>
  </si>
  <si>
    <t>Red with Floral print</t>
  </si>
  <si>
    <t>Yellow with Floral print</t>
  </si>
  <si>
    <t>Robin Blue with Floral print</t>
  </si>
  <si>
    <t>Black with Floral print</t>
  </si>
  <si>
    <t>Chocolate Brown; angrakha</t>
  </si>
  <si>
    <t>Red-White-Black kurti</t>
  </si>
  <si>
    <t>thread work</t>
  </si>
  <si>
    <t>Black-White-Red kurti</t>
  </si>
  <si>
    <t>V Neck</t>
  </si>
  <si>
    <t>angrakha style; thread work</t>
  </si>
  <si>
    <t>angrakha style thread work</t>
  </si>
  <si>
    <t>Ajrakh print &amp; thread work in front</t>
  </si>
  <si>
    <t>V Neck; Ajrakh Border around the neck</t>
  </si>
  <si>
    <t>Maroon; thread work in front</t>
  </si>
  <si>
    <t>Zed black</t>
  </si>
  <si>
    <t>print and light thread work in front</t>
  </si>
  <si>
    <t>Molmol; sleeveless</t>
  </si>
  <si>
    <t>Ochre Yellow</t>
  </si>
  <si>
    <t>sleeveless</t>
  </si>
  <si>
    <t>Maroon sleeveless, All over print and light thread work</t>
  </si>
  <si>
    <t>All over print and light thread work</t>
  </si>
  <si>
    <t>Maroon sleeveless</t>
  </si>
  <si>
    <t>Black sleeveless, All over print and light thread work</t>
  </si>
  <si>
    <t>Black sleeveless</t>
  </si>
  <si>
    <t>Chocolate Brown, sleeveless, All over print and light thread work</t>
  </si>
  <si>
    <t>Chocolate Brown; sleeveless</t>
  </si>
  <si>
    <t>Halter Neck Kurti</t>
  </si>
  <si>
    <t>Sleeveless; Hacoba</t>
  </si>
  <si>
    <t>Black, Kalamkari all over printed</t>
  </si>
  <si>
    <t>Kalamkari all over printed</t>
  </si>
  <si>
    <t>Maroon, all over printed</t>
  </si>
  <si>
    <t>all over printed</t>
  </si>
  <si>
    <t>Yellow; all over White zig zag print</t>
  </si>
  <si>
    <t>Pink; all over White Floral print</t>
  </si>
  <si>
    <t>Dark Green; all over White Floral print</t>
  </si>
  <si>
    <t>light thread work in front</t>
  </si>
  <si>
    <t>all over White Floral print</t>
  </si>
  <si>
    <t>Gray; light thread work in front</t>
  </si>
  <si>
    <t>white</t>
  </si>
  <si>
    <t>Aplic work kurti</t>
  </si>
  <si>
    <t>V Neck; Lace work on neckline</t>
  </si>
  <si>
    <t>Angrakha style</t>
  </si>
  <si>
    <t>Multi Colour; Angrakha style; thread work in front KATHA WORK</t>
  </si>
  <si>
    <t>White with Multi Colour Strips</t>
  </si>
  <si>
    <t>Blue; All over sky blue &amp; red thread work</t>
  </si>
  <si>
    <t>Magenta middle &amp; white both side</t>
  </si>
  <si>
    <t>light thread work</t>
  </si>
  <si>
    <t>White with sky blue strips; light red strip thread work</t>
  </si>
  <si>
    <t>All over printed light red thread work</t>
  </si>
  <si>
    <t>Indigo</t>
  </si>
  <si>
    <t>Maroon-Blue</t>
  </si>
  <si>
    <t>angrakha style; lace thread work in front</t>
  </si>
  <si>
    <t>Bottle Green</t>
  </si>
  <si>
    <t>floral Print</t>
  </si>
  <si>
    <t>White with multi colour</t>
  </si>
  <si>
    <t>Hacoba gown all over thread work</t>
  </si>
  <si>
    <t>Sleevless Co-Ord Set</t>
  </si>
  <si>
    <t>Dark Green</t>
  </si>
  <si>
    <t>solid colour; shirt coller dress</t>
  </si>
  <si>
    <t>Cream colour; solid colour; shirt coller dress</t>
  </si>
  <si>
    <t>Pink full length dress</t>
  </si>
  <si>
    <t>floral print</t>
  </si>
  <si>
    <t>shirt coller dress</t>
  </si>
  <si>
    <t>Gray full length dress; shirt coller dress</t>
  </si>
  <si>
    <t>White full length dress</t>
  </si>
  <si>
    <t>Steel Blue full length dress</t>
  </si>
  <si>
    <t>robin blue; red and golden Havey thread and bites work</t>
  </si>
  <si>
    <t>Pesta Green colour; red and golden Havey thread and bites work</t>
  </si>
  <si>
    <t>Rani Pink colour; Yellow and golden Havey thread and bites work</t>
  </si>
  <si>
    <t>White colour; red and golden Havey thread and bites work</t>
  </si>
  <si>
    <t>V neck, Sea Green colour,Floral print, Pink and green thread work</t>
  </si>
  <si>
    <t>Sea Green colour; Pink and green thread work</t>
  </si>
  <si>
    <t>Floral print</t>
  </si>
  <si>
    <t>Round neck, Mustard Yellow colour, Quarter sleeves,golden thread work in front</t>
  </si>
  <si>
    <t>Quarter sleeves; golden thread work in front</t>
  </si>
  <si>
    <t>Round Neck, Maroon red colour, sleeveless, Golden Thread work in front</t>
  </si>
  <si>
    <t>Maroon red colour</t>
  </si>
  <si>
    <t>sleeveless; Golden Thread work in front</t>
  </si>
  <si>
    <t>Round Neck, Army Green colour, sleeveless, Golden Thread work in front</t>
  </si>
  <si>
    <t>Army Green colour</t>
  </si>
  <si>
    <t>Round Neck, Navy blue colour, sleeveless, Golden Thread work in front</t>
  </si>
  <si>
    <t>Navy blue colour</t>
  </si>
  <si>
    <t>Golden and White Havey  bites work</t>
  </si>
  <si>
    <t>Purple Colour</t>
  </si>
  <si>
    <t>pink and yellow Havey  bites and thread work</t>
  </si>
  <si>
    <t>Lavender Colour; Golden</t>
  </si>
  <si>
    <t>Angrakha pattern</t>
  </si>
  <si>
    <t>all over Benarasi work</t>
  </si>
  <si>
    <t>Straight Pant</t>
  </si>
  <si>
    <t>V neck, White colour, Quarter sleeves, red abd blue Print</t>
  </si>
  <si>
    <t>White colour; red abd blue Print</t>
  </si>
  <si>
    <t>Round neck Beige colour Rani-Yellow-Green Print with Rani straightPant</t>
  </si>
  <si>
    <t>Red colour with Ajrakh Print Kurti</t>
  </si>
  <si>
    <t>V Neck with collar</t>
  </si>
  <si>
    <t>V neck; Kardana work at the neck line</t>
  </si>
  <si>
    <t>Rani Colour kurti</t>
  </si>
  <si>
    <t>Blue Colour kurti</t>
  </si>
  <si>
    <t>Round neck, Yellow colour kurti, Black Colour Ajrakh Print modal silk patch in front</t>
  </si>
  <si>
    <t>Raw Silk</t>
  </si>
  <si>
    <t>Yellow colour kurti; Black Colour Ajrakh Print modal silk patch in front</t>
  </si>
  <si>
    <t>V Neck with collar, Red colour kurti with Ajrakh Print</t>
  </si>
  <si>
    <t>Red colour kurti with Ajrakh Print</t>
  </si>
  <si>
    <t>Co-Ord Set</t>
  </si>
  <si>
    <t>Shirt Collar Blue colour co-ord set</t>
  </si>
  <si>
    <t>kardana work at the collar</t>
  </si>
  <si>
    <t>V Neck; Golden Thread (Muksh)work at the neck line</t>
  </si>
  <si>
    <t>Rani colour</t>
  </si>
  <si>
    <t>Round neck, Blue colour kurti, Ajrakh Print modal silk patch in front</t>
  </si>
  <si>
    <t>Blue colour kurti</t>
  </si>
  <si>
    <t>Ajrakh Print modal silk patch in front</t>
  </si>
  <si>
    <t>Black colour kurti</t>
  </si>
  <si>
    <t>Ajrakh Print</t>
  </si>
  <si>
    <t>pure modal silk</t>
  </si>
  <si>
    <t>V Neck with collar, Black colour kurti with Ajrakh Print</t>
  </si>
  <si>
    <t>Black colour kurti with Ajrakh Print</t>
  </si>
  <si>
    <t>Pink colour kurti thread work at the neck line</t>
  </si>
  <si>
    <t>V Neck; Orange colour kurti with all over floral print thread work at the neck line</t>
  </si>
  <si>
    <t>Green colour kurti with all over floral print thread work at the neck line</t>
  </si>
  <si>
    <t>Black-Orange</t>
  </si>
  <si>
    <t>Rani; Shirt collar; Sleeveless</t>
  </si>
  <si>
    <t>Rani colour with budni print</t>
  </si>
  <si>
    <t>punjabi collar</t>
  </si>
  <si>
    <t>Rani colour with floral print Kurti</t>
  </si>
  <si>
    <t>Zardozi Work</t>
  </si>
  <si>
    <t>Gray Cord Set With belt, Shirt Coller,  Zardozi Work on coller and belt</t>
  </si>
  <si>
    <t>Gray Cord Set With belt; Shirt Coller; Zardozi Work on coller and belt</t>
  </si>
  <si>
    <t>V Neck; Multi Colour Cord set with mirror work on the neck line</t>
  </si>
  <si>
    <t>Mustard Yellow Colour</t>
  </si>
  <si>
    <t>Lucknow chikankari kurti</t>
  </si>
  <si>
    <t>White colour; White thread work on the neck line</t>
  </si>
  <si>
    <t>White thread work on the neck line</t>
  </si>
  <si>
    <t>Magenta colour</t>
  </si>
  <si>
    <t>White kurti with red patch in front and sleeves</t>
  </si>
  <si>
    <t>Round nack</t>
  </si>
  <si>
    <t>Red kurti with White patch in front and sleeves</t>
  </si>
  <si>
    <t>multi colour thread work; Kashmiri style</t>
  </si>
  <si>
    <t>BLUE; Red patch</t>
  </si>
  <si>
    <t>Angrakha style; ikat style; thread work</t>
  </si>
  <si>
    <t>Red colour; White patch with thread work in front</t>
  </si>
  <si>
    <t>ikat style</t>
  </si>
  <si>
    <t>Black colour; Red Jamdani work</t>
  </si>
  <si>
    <t>White colour; Red Jamdani work</t>
  </si>
  <si>
    <t>Dark Green with Modal, Angrakha style, V Neck, thread work</t>
  </si>
  <si>
    <t>Modal Silk + South Cotton</t>
  </si>
  <si>
    <t>Dark Green with Modal</t>
  </si>
  <si>
    <t>Angrakha style; thread work</t>
  </si>
  <si>
    <t>Steel Blue kurti</t>
  </si>
  <si>
    <t>threadwork in front</t>
  </si>
  <si>
    <t>Yellow kurti with floral print</t>
  </si>
  <si>
    <t>light threadwork in front</t>
  </si>
  <si>
    <t>red with different colour cloth patch</t>
  </si>
  <si>
    <t>round neck; thread work on the neck line</t>
  </si>
  <si>
    <t>Zed black; golden and pinki colour thread work</t>
  </si>
  <si>
    <t>Quarter Sleeves Kurti + Dupatta</t>
  </si>
  <si>
    <t>Purple colour with pink floral print</t>
  </si>
  <si>
    <t>V neck; kardana work on the neck line +Dupatta</t>
  </si>
  <si>
    <t>Begompuri</t>
  </si>
  <si>
    <t>Blue with White; pink; yellow Flower</t>
  </si>
  <si>
    <t>Quarter sleeves + Dupatta</t>
  </si>
  <si>
    <t>Mustard Yellow Colour with Goldal Work</t>
  </si>
  <si>
    <t>Benarasi Dupatta</t>
  </si>
  <si>
    <t>Black with green leaves</t>
  </si>
  <si>
    <t>Shirt collar</t>
  </si>
  <si>
    <t>Orange with yellow leaves</t>
  </si>
  <si>
    <t>Harem Pant</t>
  </si>
  <si>
    <t>Dhoti Pant</t>
  </si>
  <si>
    <t>V Neck; Floral print and thread work at the neck line</t>
  </si>
  <si>
    <t>Maroon Colour</t>
  </si>
  <si>
    <t>Bottle Green Colour</t>
  </si>
  <si>
    <t>V Neck, Maroon-Rani-Orange print, and thread work at the neck line</t>
  </si>
  <si>
    <t>Maroon-Rani-Orange print</t>
  </si>
  <si>
    <t>V Neck; and thread work at the neck line</t>
  </si>
  <si>
    <t>Shirt Coller, Sleeveless, Offwhite with LEAF Print</t>
  </si>
  <si>
    <t>Offwhite with LEAF Print</t>
  </si>
  <si>
    <t>Shirt Coller; Sleeveless</t>
  </si>
  <si>
    <t>Pink with White strip</t>
  </si>
  <si>
    <t>Green with White strip</t>
  </si>
  <si>
    <t>Round with V neck, Purple colour, thread and bits work at the neck line</t>
  </si>
  <si>
    <t>Round with V neck; thread and bits work at the neck line</t>
  </si>
  <si>
    <t>Purple colour</t>
  </si>
  <si>
    <t>Round neck, Orange colour with Bandhani print, thread work at the neck line</t>
  </si>
  <si>
    <t>Orange colour with Bandhani print</t>
  </si>
  <si>
    <t>Round neck; thread work at the neck line</t>
  </si>
  <si>
    <t>V neck, Lavender colour, thread and bits work at the neck line</t>
  </si>
  <si>
    <t>V neck; thread and bits work at the neck line</t>
  </si>
  <si>
    <t>Lavender colour</t>
  </si>
  <si>
    <t>all over white thread work</t>
  </si>
  <si>
    <t>Wine colour</t>
  </si>
  <si>
    <t>Round neck, Zed black colour, Silver thread work at the neck line</t>
  </si>
  <si>
    <t>Zed black colour</t>
  </si>
  <si>
    <t>Round neck; Silver thread work at the neck line</t>
  </si>
  <si>
    <t>Gray-Maroon-Black colour with Ajrakh Patch</t>
  </si>
  <si>
    <t>Pink-Green colour south Cotton</t>
  </si>
  <si>
    <t>V Neck, Yellow colour, Floral Print and thread work at the neck line</t>
  </si>
  <si>
    <t>Yellow colour</t>
  </si>
  <si>
    <t>V Neck; Floral Print and thread work at the neck line</t>
  </si>
  <si>
    <t>V Neck, Wine colour, Floral Print and thread work at the neck line</t>
  </si>
  <si>
    <t>Black colour with Ajrakh print; White hacoba patch in front</t>
  </si>
  <si>
    <t>Rani colour Black Ajrakh patch</t>
  </si>
  <si>
    <t>thread work in front</t>
  </si>
  <si>
    <t>Steel Blue</t>
  </si>
  <si>
    <t>Angrakha style kurti; light thread work in front</t>
  </si>
  <si>
    <t>Black colour with white print</t>
  </si>
  <si>
    <t>V neck; Light Thread work at the neck line</t>
  </si>
  <si>
    <t>Dark Blue Colour with multicolour thread Work in front; Seagreen Benarasi Dupatta</t>
  </si>
  <si>
    <t>V Neck, Yellow colour, Different colour Floral Print, bites and thread work at the neck line</t>
  </si>
  <si>
    <t>Different colour Floral Print</t>
  </si>
  <si>
    <t>V Neck; bites and thread work at the neck line</t>
  </si>
  <si>
    <t>Blue Colour with floral print</t>
  </si>
  <si>
    <t>All over KANTHA work</t>
  </si>
  <si>
    <t>Round-V neck, White colour, colourful thread work in front</t>
  </si>
  <si>
    <t>White colour</t>
  </si>
  <si>
    <t>Round-V neck</t>
  </si>
  <si>
    <t>colourful thread work in front</t>
  </si>
  <si>
    <t>NAVY Blue Ajrakh print V neck</t>
  </si>
  <si>
    <t>laces work at the neck line</t>
  </si>
  <si>
    <t>Black Ajrakh Print sleeveless, All over print and light thread work</t>
  </si>
  <si>
    <t>Black Ajrakh Print sleeveless</t>
  </si>
  <si>
    <t>Purple Ajrak Print sleeveless, All over print and light thread work</t>
  </si>
  <si>
    <t>Purple Ajrak Print sleeveless; All over print and light thread work</t>
  </si>
  <si>
    <t>Gray  Dabu print, sleeveless, All over print and light thread work</t>
  </si>
  <si>
    <t>Gray  Dabu print; All over print and light thread work</t>
  </si>
  <si>
    <t>Rani Colour, Shirt Collar, Sleevless Co-ord set, With Floral Print</t>
  </si>
  <si>
    <t>With Floral Print</t>
  </si>
  <si>
    <t>Rani Colour; Shirt Collar; Sleevless Co-ord set</t>
  </si>
  <si>
    <t>Black Colour, Shirt Collar, Sleevless Co-ord set, With Floral Print</t>
  </si>
  <si>
    <t>Black Colour</t>
  </si>
  <si>
    <t>Shirt Collar; Sleevless Co-ord set</t>
  </si>
  <si>
    <t>Yellow Colour</t>
  </si>
  <si>
    <t>All over Ajrak patch with thread work in front; Angrakha Style</t>
  </si>
  <si>
    <t>Noodle Kurti &amp; Jacket</t>
  </si>
  <si>
    <t>Purple colour, Round Neck, Lace work at the neck line,Dhakai Jamdani, Quarter Sleeves,</t>
  </si>
  <si>
    <t>Round Neck; Lace work at the neck line</t>
  </si>
  <si>
    <t xml:space="preserve">Purple colour; Dhakai Jamdani; Quarter Sleeves; </t>
  </si>
  <si>
    <t>Yelllow colour with all over green print</t>
  </si>
  <si>
    <t>Round neck light thread work in front</t>
  </si>
  <si>
    <t>Black-Maroon colour</t>
  </si>
  <si>
    <t>Black colour</t>
  </si>
  <si>
    <t>Round V neck</t>
  </si>
  <si>
    <t>light thread work in front; kalamkari patch at the nackline; patch work in front</t>
  </si>
  <si>
    <t>Blue-white batik print with Maroon Ajrak patch in front, light thread work, V nack</t>
  </si>
  <si>
    <t>Blue-white batik print with Maroon Ajrak patch in front</t>
  </si>
  <si>
    <t>light thread work; V nack</t>
  </si>
  <si>
    <t>Black -Gray Angrakha Style</t>
  </si>
  <si>
    <t>Dabu patch; Fish and folwer Aplic work in front</t>
  </si>
  <si>
    <t>Black Ajrak kurti with Maroon Ajrak patch in front, light thread work, V nack, Maroon Ajrak patch work at the neckline</t>
  </si>
  <si>
    <t>Black Ajrak kurti with Maroon Ajrak patch in front</t>
  </si>
  <si>
    <t>Maroon Ajrak patch work at the neckline</t>
  </si>
  <si>
    <t>Ajrak print</t>
  </si>
  <si>
    <t>V neck; thread work at the neckline</t>
  </si>
  <si>
    <t>Maroon colour</t>
  </si>
  <si>
    <t>White with Red velvat border; Red colour light thread work</t>
  </si>
  <si>
    <t>White &amp; Red small checks; Red border; red &amp; Yellow colour light thread work</t>
  </si>
  <si>
    <t>White &amp; SkyBlue small checks; SkyBlue Velvet border; Yellow colour light thread work</t>
  </si>
  <si>
    <t>Green &amp; Red small checks; Red Velvet border; Yellow colour thread work</t>
  </si>
  <si>
    <t>Red colour; V neck Big white floral print</t>
  </si>
  <si>
    <t>Thread work at the neckline</t>
  </si>
  <si>
    <t>SEA Green; Thredwork at the neckline</t>
  </si>
  <si>
    <t>Floral Print</t>
  </si>
  <si>
    <t>Pink; Thredwork at the neckline</t>
  </si>
  <si>
    <t>Off White</t>
  </si>
  <si>
    <t>Red colour</t>
  </si>
  <si>
    <t>Ajrakh Patch at thr neckline</t>
  </si>
  <si>
    <t>mirror work &amp;thread work</t>
  </si>
  <si>
    <t>light Blue colour with dark blue patch</t>
  </si>
  <si>
    <t>OFF White</t>
  </si>
  <si>
    <t>Musterd Yellow</t>
  </si>
  <si>
    <t>Bandni Print</t>
  </si>
  <si>
    <t>Thread Work in front</t>
  </si>
  <si>
    <t>Printed</t>
  </si>
  <si>
    <t>thin patch with thread work at the neck line</t>
  </si>
  <si>
    <t>Angrakha Style</t>
  </si>
  <si>
    <t>Round neck Kurti</t>
  </si>
  <si>
    <t>Black colour; Red patch with heavy Thread work in front</t>
  </si>
  <si>
    <t>Black Kurti V neck</t>
  </si>
  <si>
    <t>Maroon patch both side and hands; maroon patch at the back; Angrakha style</t>
  </si>
  <si>
    <t>Blue-Ochre Yellow colour</t>
  </si>
  <si>
    <t>Krishna Print</t>
  </si>
  <si>
    <t>Red colour Top Sleeveless; Black Skirt Thread work at the bottom</t>
  </si>
  <si>
    <t>V Neck; thread work at the neck line</t>
  </si>
  <si>
    <t>Purple colour; All Over KATHA work</t>
  </si>
  <si>
    <t>Lavender colour; All Over KATHA work</t>
  </si>
  <si>
    <t>Ajrakh Skirt</t>
  </si>
  <si>
    <t>Maroon , Shirt collar, All over leaf print</t>
  </si>
  <si>
    <t>All over leaf print</t>
  </si>
  <si>
    <t>Maroon; Shirt collar</t>
  </si>
  <si>
    <t>Maroon , Shirt collar, All over Village print</t>
  </si>
  <si>
    <t>All over Village print</t>
  </si>
  <si>
    <t>Maroon  &amp; Black Ajrakh Dress; Black Patch at the neck line</t>
  </si>
  <si>
    <t>OffWhite all over Black temple Ajrakh Dress; Black Patch at the neck line</t>
  </si>
  <si>
    <t>Dhoti Set</t>
  </si>
  <si>
    <t>Khadi Cotton+Silk</t>
  </si>
  <si>
    <t>Black Colour Floral Print</t>
  </si>
  <si>
    <t>Reverse Collar With side String</t>
  </si>
  <si>
    <t>Red Colour Floral Print</t>
  </si>
  <si>
    <t>Noodle top; Ajrakh Cotton -INDIGO</t>
  </si>
  <si>
    <t>Ajrakh Cotton- OFFWHITE</t>
  </si>
  <si>
    <t>Noodle top</t>
  </si>
  <si>
    <t>Ajrakh Cotton- BLACK</t>
  </si>
  <si>
    <t>Noodle top; Ajrakh Cotton-MAROON</t>
  </si>
  <si>
    <t>Ochre Yellow Rapid Long shrug, White colour inside, shrug is in ochre colour with Blue colour print, Round neck sleeveless inside and 3 quarter sleeves shrug</t>
  </si>
  <si>
    <t>Ochre Yellow Rapid Long shrug; White colour inside; shrug is in ochre colour with Blue colour print</t>
  </si>
  <si>
    <t>Indigo Blue Dabu Long shrug, Yellow colour inside, shrug with Blue colour print, Round neck sleeveless inside and 3 quarter sleeves shrug</t>
  </si>
  <si>
    <t>Indigo Blue Dabu Long shrug; Yellow colour inside; shrug with Blue colour print</t>
  </si>
  <si>
    <t>Katha work in front</t>
  </si>
  <si>
    <t>white-orange-green printed pencil skirt</t>
  </si>
  <si>
    <t xml:space="preserve">Blazer collar top; </t>
  </si>
  <si>
    <t>Dabu print</t>
  </si>
  <si>
    <t>Purple colour; Shirt collar; pencil skirt</t>
  </si>
  <si>
    <t>Black with maroon &amp; white print</t>
  </si>
  <si>
    <t>Ajrakh</t>
  </si>
  <si>
    <t>SeaGreen dress with pink; green &amp; white flower print</t>
  </si>
  <si>
    <t>Rapid</t>
  </si>
  <si>
    <t>OFFWhite colour with black &amp;orange</t>
  </si>
  <si>
    <t>Glass sleeves</t>
  </si>
  <si>
    <t>OFFWhite colour with blue &amp; maroon</t>
  </si>
  <si>
    <t>Red, print on white colour Dress with short shrug, sleeveless inside and 3 quarter sleeves short shrug</t>
  </si>
  <si>
    <t>Red; print on white colour Dress with short shrug</t>
  </si>
  <si>
    <t>Red,  print on white colour Dress with short shrug, sleeveless inside and 3 quarter sleeves short shrug</t>
  </si>
  <si>
    <t>Sky Blue,  print on white colour Dress with short shrug, sleeveless inside and 3 quarter sleeves short shrug</t>
  </si>
  <si>
    <t>Sky Blue; print on white colour Dress with short shrug</t>
  </si>
  <si>
    <t>SeaGreen dress with pink, green &amp; white flower print, Rapid, Front zipper, sleeveless</t>
  </si>
  <si>
    <t>Rapid; Front zipper; sleeveless</t>
  </si>
  <si>
    <t>Olive green with white flower print, Rapid,</t>
  </si>
  <si>
    <t>Olive green with white flower print</t>
  </si>
  <si>
    <t xml:space="preserve">Rapid; </t>
  </si>
  <si>
    <t>Pink colour Mashru top</t>
  </si>
  <si>
    <t>Shirt; Pesta Colour</t>
  </si>
  <si>
    <t>Blue Colour</t>
  </si>
  <si>
    <t xml:space="preserve">Shirt; chinese collar; </t>
  </si>
  <si>
    <t>Dark Green Colour</t>
  </si>
  <si>
    <t>Round Neck T-Shirt</t>
  </si>
  <si>
    <t>oversize crop top</t>
  </si>
  <si>
    <t>Sky Blue &amp;white Strips Colour</t>
  </si>
  <si>
    <t>Round Neck top</t>
  </si>
  <si>
    <t>crop top</t>
  </si>
  <si>
    <t>Red &amp;white Strips Colour</t>
  </si>
  <si>
    <t>White Colour</t>
  </si>
  <si>
    <t>Orange colour; Shirt collar; Half jump suit</t>
  </si>
  <si>
    <t>Pink colour</t>
  </si>
  <si>
    <t>Chinese collar; Half jump suit</t>
  </si>
  <si>
    <t>Shirt collar; Half jump suit</t>
  </si>
  <si>
    <t>Full jump suit</t>
  </si>
  <si>
    <t>light Sea Green</t>
  </si>
  <si>
    <t>4 Pockets</t>
  </si>
  <si>
    <t>light Pink</t>
  </si>
  <si>
    <t>Half Co-Ord Set</t>
  </si>
  <si>
    <t>Sleevless top and Half Pant, Off White</t>
  </si>
  <si>
    <t>Sleevless top and Half Pant</t>
  </si>
  <si>
    <t>Sleevless top , Off White</t>
  </si>
  <si>
    <t>Sleevless top</t>
  </si>
  <si>
    <t>Vneck</t>
  </si>
  <si>
    <t>Rani colour; Quarter sleeves  + stright pant</t>
  </si>
  <si>
    <t>U Neck, Golden backside Green &amp; White Print in front SAHOJ PATH</t>
  </si>
  <si>
    <t>Golden backside Green &amp; White Print in front SAHOJ PATH</t>
  </si>
  <si>
    <t>U Neck</t>
  </si>
  <si>
    <t>chinese collar BLUE coloue</t>
  </si>
  <si>
    <t>Ajrkh border 2 pockets</t>
  </si>
  <si>
    <t>Ajrkh border 2 pockets; Thread Work</t>
  </si>
  <si>
    <t>Mustard Yellow</t>
  </si>
  <si>
    <t>leheriya Print</t>
  </si>
  <si>
    <t>Quarter Sleeves</t>
  </si>
  <si>
    <t>BLACK colour</t>
  </si>
  <si>
    <t>Maroon patch with light Thread work in front</t>
  </si>
  <si>
    <t>WHITE colour; Nevy Blue patch with light Thread work in front</t>
  </si>
  <si>
    <t>kalamtari patch at the neckline</t>
  </si>
  <si>
    <t>Katha work all over with thread work in front</t>
  </si>
  <si>
    <t>White with pink thread work in front</t>
  </si>
  <si>
    <t>white thread work with mirror</t>
  </si>
  <si>
    <t>Indigo colour; Quarter Sleeves</t>
  </si>
  <si>
    <t>DarkGreen with Ajrakh patch in front</t>
  </si>
  <si>
    <t>Black Kurti</t>
  </si>
  <si>
    <t>Multi colour heavy thread work</t>
  </si>
  <si>
    <t>OffWhite Kurti</t>
  </si>
  <si>
    <t>work with  fabric colours</t>
  </si>
  <si>
    <t>Green colour All over white colour Print</t>
  </si>
  <si>
    <t>Orange &amp;White sleevelesstop with Orange wrapper Skirt with light Black thread work</t>
  </si>
  <si>
    <t>SeaGreen &amp;White sleevelesstop with SeaGreen wrapper Skirt with light Black thread work</t>
  </si>
  <si>
    <t>Gray &amp;White sleevelesstop, Round neck with Gray wrapper Skirt with light Black thread work</t>
  </si>
  <si>
    <t>Gray &amp;White sleevelesstop; Round neck with Gray wrapper Skirt with light Black thread work</t>
  </si>
  <si>
    <t>Magenta sleevelesstop Angrakha patern with Magenta pencil skirt</t>
  </si>
  <si>
    <t>Yellow colour; Angrakha Pattarn red patch with Black Aplic work</t>
  </si>
  <si>
    <t>Purple Benarasi V neck kurti all over benarasi work</t>
  </si>
  <si>
    <t>Rust colour V neck</t>
  </si>
  <si>
    <t>Modal Ajrakh patch on Shoulder With mirror</t>
  </si>
  <si>
    <t>Rust colour Round neck</t>
  </si>
  <si>
    <t>Modal Ajrakh patch on both side With mirror</t>
  </si>
  <si>
    <t>White colour; silver bits &amp; pink floral thread work</t>
  </si>
  <si>
    <t>Black colour; pink &amp; green floral thread work</t>
  </si>
  <si>
    <t>silver bits</t>
  </si>
  <si>
    <t>Green kurti</t>
  </si>
  <si>
    <t>thin modal patch with mirror work</t>
  </si>
  <si>
    <t>Navy Blue with red print</t>
  </si>
  <si>
    <t>Shirt collar; Sleeveless; wooden button</t>
  </si>
  <si>
    <t>Blazer collar Black Top &amp; Maroon pencil skirt,Maroon Ajrakh print</t>
  </si>
  <si>
    <t>Maroon Ajrakh print</t>
  </si>
  <si>
    <t>Blazer collar Black Top &amp; Blue pencil skirt,Maroon Ajrakh print</t>
  </si>
  <si>
    <t>Blazer collar Black Top &amp; Blue pencil skirt</t>
  </si>
  <si>
    <t>Green colour; Red thread work</t>
  </si>
  <si>
    <t>brown print</t>
  </si>
  <si>
    <t>Purple colour, Angrakha style, Multiple type cloth patch</t>
  </si>
  <si>
    <t>Purple colour; Angrakha style; Multiple type cloth patch</t>
  </si>
  <si>
    <t>Maroon colour, Angrakha style, Multiple type cloth patch</t>
  </si>
  <si>
    <t>Maroon colour; Angrakha style; Multiple type cloth patch</t>
  </si>
  <si>
    <t>Black colour, Angrakha style, Multiple type cloth patch</t>
  </si>
  <si>
    <t>Angrakha style; Multiple type cloth patch</t>
  </si>
  <si>
    <t>white colour very light work</t>
  </si>
  <si>
    <t>Maroon colour; Angrakha style</t>
  </si>
  <si>
    <t>White colour; Black-Red Jamdani work</t>
  </si>
  <si>
    <t>Ochre Yellow colour</t>
  </si>
  <si>
    <t>Maroon Modal &amp;Cotton Patch; Light thread work</t>
  </si>
  <si>
    <t>Maroon Ajrakh patch at neckline and Pockets</t>
  </si>
  <si>
    <t>Maroon , V collar, All over Big Leaf print</t>
  </si>
  <si>
    <t>All over Big Leaf print</t>
  </si>
  <si>
    <t>Maroon; V collar</t>
  </si>
  <si>
    <t>Black, V collar, All over Big Leaf print</t>
  </si>
  <si>
    <t>V collar</t>
  </si>
  <si>
    <t>All over ROUND WHEEL LIKE print</t>
  </si>
  <si>
    <t>OffWhite, V collar, All over KOLKA print</t>
  </si>
  <si>
    <t>OffWhite</t>
  </si>
  <si>
    <t>All over KOLKA print</t>
  </si>
  <si>
    <t>OffWhite, V collar, All over ZIG ZAG print</t>
  </si>
  <si>
    <t>All over ZIG ZAG print</t>
  </si>
  <si>
    <t>OffWhite colour</t>
  </si>
  <si>
    <t>Ajrakh patch in frant</t>
  </si>
  <si>
    <t>RED colour</t>
  </si>
  <si>
    <t>green colour light thread work</t>
  </si>
  <si>
    <t>Purple colour; Modal patch in front &amp; sleeves</t>
  </si>
  <si>
    <t>V neck; Modal patch &amp; Mirror work at the neck line</t>
  </si>
  <si>
    <t>Modal patch at front and sleeves</t>
  </si>
  <si>
    <t>Blue colour</t>
  </si>
  <si>
    <t>Orange colour; All over modal Patch in front</t>
  </si>
  <si>
    <t>pink &amp; Rani thread work at front</t>
  </si>
  <si>
    <t>Gray colour</t>
  </si>
  <si>
    <t>Army Green  with all over white print</t>
  </si>
  <si>
    <t>V neck  lace work at neck line</t>
  </si>
  <si>
    <t>DarkGreen  with all over white &amp; red print</t>
  </si>
  <si>
    <t>Navy Blue  with all over white print</t>
  </si>
  <si>
    <t>Sky Blue colour, holter neck, sleevless , light thread work infront</t>
  </si>
  <si>
    <t>Sky Blue colour</t>
  </si>
  <si>
    <t>holter neck</t>
  </si>
  <si>
    <t>sleevless; light thread work infront</t>
  </si>
  <si>
    <t>Black dress</t>
  </si>
  <si>
    <t>Squre neck</t>
  </si>
  <si>
    <t>full gown</t>
  </si>
  <si>
    <t>White and red print, Sleeveless , round neck, light thread work in front, red  with white print stright pant</t>
  </si>
  <si>
    <t>White and red print; red  with white print stright pant</t>
  </si>
  <si>
    <t>Sleeveless; light thread work in front</t>
  </si>
  <si>
    <t>Red and Pink Flower print, Sleeveless , round neck, light thread work in front, same print stright pant</t>
  </si>
  <si>
    <t>Red and Pink Flower print</t>
  </si>
  <si>
    <t>same print stright pant</t>
  </si>
  <si>
    <t>Dark Green with yellow &amp; Pink flower print, Sleeveless, V neck, Lace and thread work at the neck line, Yellow stright pant</t>
  </si>
  <si>
    <t>Dark Green with yellow &amp; Pink flower print; Yellow stright pant</t>
  </si>
  <si>
    <t>V neck; Lace and thread work at the neck line</t>
  </si>
  <si>
    <t>Black with yellow &amp; Pink flower print, Sleeveless, V neck, Lace and thread work at the neck line, Pink stright pant</t>
  </si>
  <si>
    <t>Black with yellow &amp; Pink flower print; Pink stright pant</t>
  </si>
  <si>
    <t>Purple with White print, Quarter Sleeves, V neck, Lace and thread work at the neck line, Same colour stright pant</t>
  </si>
  <si>
    <t>Purple with White print</t>
  </si>
  <si>
    <t>Quarter Sleeves; Same colour stright pant</t>
  </si>
  <si>
    <t>Green and White Flower print, Sleeveless , round neck, light thread work in front, same print stright pant</t>
  </si>
  <si>
    <t>Green and White Flower print</t>
  </si>
  <si>
    <t>Yellow with green red  print</t>
  </si>
  <si>
    <t>V neck; light thread work at neck line</t>
  </si>
  <si>
    <t>Red sleevelesstop Angrakha patern with Red pencil skirt</t>
  </si>
  <si>
    <t>Teal Blue Dress white thread work</t>
  </si>
  <si>
    <t>Sky Blue colour with white print</t>
  </si>
  <si>
    <t>V Neck; leace work at the neck line</t>
  </si>
  <si>
    <t>Ajrakh patch in front with mirror work</t>
  </si>
  <si>
    <t>Black colour; white thread work with mirror work in front</t>
  </si>
  <si>
    <t>Black colour; white lace work and white patch in front</t>
  </si>
  <si>
    <t>OFF White , Shirt collar, All over Village print</t>
  </si>
  <si>
    <t>White Kurti; Black Ajrekh print in front with light mirror work</t>
  </si>
  <si>
    <t>White Ajrekh print in front with light mirror work</t>
  </si>
  <si>
    <t>Maroon Kurti</t>
  </si>
  <si>
    <t>Rust colour with white print coord set</t>
  </si>
  <si>
    <t>chinese collar; Light Thread Work</t>
  </si>
  <si>
    <t>Peach Colour with print, Quarter Sleeves, V neck, Lace and thread work at the neck line, Pink colour stright pant</t>
  </si>
  <si>
    <t>Pink colour stright pant</t>
  </si>
  <si>
    <t>Peach Colour with print</t>
  </si>
  <si>
    <t>White Colour with Multicolour Flower print, Quarter Sleeves, V neck, Lace and thread work at the neck line, Pink colour stright pant</t>
  </si>
  <si>
    <t>White Colour with Multicolour Flower print; Pink colour stright pant</t>
  </si>
  <si>
    <t>Yellow colour jamdani print</t>
  </si>
  <si>
    <t>Maroon colour jamdani print</t>
  </si>
  <si>
    <t>Black with White Print; Pink Batik patch in front</t>
  </si>
  <si>
    <t>light thread and lace work in front</t>
  </si>
  <si>
    <t>Maroon with White Print; Black Batik patch in front</t>
  </si>
  <si>
    <t>Yellow with White Print; Black Batik patch in front</t>
  </si>
  <si>
    <t>White colour Print</t>
  </si>
  <si>
    <t>Lavender colour; light thread work in front</t>
  </si>
  <si>
    <t>Green colour; White colour Print</t>
  </si>
  <si>
    <t>Dark Green with yellow Batik patch at the neck line</t>
  </si>
  <si>
    <t>Durga Print in front</t>
  </si>
  <si>
    <t>Puffed Sleeves</t>
  </si>
  <si>
    <t>Maroon with Black Batik patch at the neck line</t>
  </si>
  <si>
    <t>Ajrakh print</t>
  </si>
  <si>
    <t>Sea Green colour, Shirt coller, White floral print all over</t>
  </si>
  <si>
    <t>Sea Green colour; White floral print all over</t>
  </si>
  <si>
    <t>Shirt coller</t>
  </si>
  <si>
    <t>Mustard Yellow colour, Shirt coller, White floral print all over</t>
  </si>
  <si>
    <t>Mustard Yellow colour; White floral print all over</t>
  </si>
  <si>
    <t>DarkGreen with Ajrakh patch in front, Round neck,light thread &amp; mirror work, Modal Dupatta, Maroon Stright Pant</t>
  </si>
  <si>
    <t>light thread &amp; mirror work; Modal Dupatta; Maroon Stright Pant</t>
  </si>
  <si>
    <t>Gray + Pesta Green colour, Light jamdani work, 3 shell infrant, puffy sleeves</t>
  </si>
  <si>
    <t>Gray + Pesta Green colour</t>
  </si>
  <si>
    <t>Light jamdani work; 3 shell infrant; puffy sleeves</t>
  </si>
  <si>
    <t>Red + Green colour, Light jamdani work, 3 shell in front, puffy sleeves</t>
  </si>
  <si>
    <t>Red + Green colour</t>
  </si>
  <si>
    <t>Light jamdani work; 3 shell in front; puffy sleeves</t>
  </si>
  <si>
    <t>Mustard Yellow colour, Shirt coller, Brown and white strips, White thread work in front</t>
  </si>
  <si>
    <t>Mustard Yellow colour; Brown and white strips; White thread work in front</t>
  </si>
  <si>
    <t>Maroon colour, Shirt coller, Black and white strips, White thread work in front</t>
  </si>
  <si>
    <t>Black and white strips; White thread work in front</t>
  </si>
  <si>
    <t>Maroon colour; Shirt coller</t>
  </si>
  <si>
    <t>Sleevless, Round neck, Black-Blue-Maroon</t>
  </si>
  <si>
    <t>Black-Blue-Maroon</t>
  </si>
  <si>
    <t>Sleevless</t>
  </si>
  <si>
    <t>Sleevless, Round neck, Black-Blue-Olive</t>
  </si>
  <si>
    <t>Black-Blue-Olive</t>
  </si>
  <si>
    <t>Sleevless, Round neck, Maroon-Blue-Black</t>
  </si>
  <si>
    <t>Maroon-Blue-Black</t>
  </si>
  <si>
    <t>Sleevless, Round neck, White-Blue-Olive</t>
  </si>
  <si>
    <t>White-Blue-Olive</t>
  </si>
  <si>
    <t>Gray colour with white thread work</t>
  </si>
  <si>
    <t>chikonkari; mirror work; cotton Inner</t>
  </si>
  <si>
    <t>Batik print</t>
  </si>
  <si>
    <t>Mustard colour; light thread work</t>
  </si>
  <si>
    <t>White Check kurti with Black patch in front</t>
  </si>
  <si>
    <t>KATHA stitch in front</t>
  </si>
  <si>
    <t>Black Check kurti with White patch in front</t>
  </si>
  <si>
    <t>Gray colour with self colour thread work; Quarter sleeves</t>
  </si>
  <si>
    <t>Sea Green colour; Heavy White Thread Work in Front</t>
  </si>
  <si>
    <t>Heavy White Thread Work in Front</t>
  </si>
  <si>
    <t>Black colour; White Thread work in front</t>
  </si>
  <si>
    <t>Black Ajrakh patch at neckline and Pockets</t>
  </si>
  <si>
    <t>White colour; Black Ajrakh patch at neckline and Pockets</t>
  </si>
  <si>
    <t>Blue &amp; Gray kalamkari Print</t>
  </si>
  <si>
    <t>V Neck One side Pocket</t>
  </si>
  <si>
    <t>Belt at the Back</t>
  </si>
  <si>
    <t>Green colour</t>
  </si>
  <si>
    <t>Blue-Gray-Ocher colour Floral Print, Dual side long Jacket, All over Kantha Work, Buttons infront</t>
  </si>
  <si>
    <t>Blue-Gray-Ocher colour Floral Print</t>
  </si>
  <si>
    <t>Dual side long Jacket; All over Kantha Work; Buttons infront</t>
  </si>
  <si>
    <t>Purple colour and White Floral Print, Dual side long Jacket, All over Kantha Work, Buttons infront</t>
  </si>
  <si>
    <t>Purple colour and White Floral Print</t>
  </si>
  <si>
    <t>Yellow colour and White colour Print, Dual side long Jacket, All over Kantha Work, Buttons infront</t>
  </si>
  <si>
    <t>Yellow colour and White colour Print</t>
  </si>
  <si>
    <t>Blue-Gray-Ocher colour Floral Print, Dual side Short Jacket, All over Kantha Work, Buttons infront</t>
  </si>
  <si>
    <t>Dual side Short Jacket; All over Kantha Work; Buttons infront</t>
  </si>
  <si>
    <t>Yellow colour White Print, Dual side Short Jacket, All over Kantha Work, Buttons infront</t>
  </si>
  <si>
    <t>Yellow colour White Print</t>
  </si>
  <si>
    <t>SeaGreen colour White Print, Dual side Short Jacket, All over Kantha Work, Buttons infront</t>
  </si>
  <si>
    <t>SeaGreen colour White Print</t>
  </si>
  <si>
    <t>Green colour White Print, Dual side Short Jacket, All over Kantha Work, Buttons infront</t>
  </si>
  <si>
    <t>Green colour White Print</t>
  </si>
  <si>
    <t>BLECK dress; full gown</t>
  </si>
  <si>
    <t>rani orange fabric print</t>
  </si>
  <si>
    <t>Tute colour; light thread work</t>
  </si>
  <si>
    <t>Navy Blue colour dress</t>
  </si>
  <si>
    <t>Quarter Sleeves; kasmiri work jacket</t>
  </si>
  <si>
    <t>offwhite print with light thread work</t>
  </si>
  <si>
    <t>Olive colour</t>
  </si>
  <si>
    <t>Dark Green colour with lace work and ajrakh print</t>
  </si>
  <si>
    <t>Dark Blue colour</t>
  </si>
  <si>
    <t>Ajrakh patch in front and sleeves; light mirrorwork in front</t>
  </si>
  <si>
    <t>Black colour, maroon print with light thread work, strip print stright Paint,  V nack</t>
  </si>
  <si>
    <t>maroon print with light thread work; strip print stright Paint</t>
  </si>
  <si>
    <t>V nack</t>
  </si>
  <si>
    <t>Maroon colour, maroon print with light thread work, strip print stright Paint,  V nack</t>
  </si>
  <si>
    <t>Maroon colour; V nack</t>
  </si>
  <si>
    <t>Tample work both side; light thread work</t>
  </si>
  <si>
    <t>Yellow colour; Green patch with red thread work</t>
  </si>
  <si>
    <t>Angrakha Pattarn</t>
  </si>
  <si>
    <t>Skyblue colour</t>
  </si>
  <si>
    <t>V neck; lace work at the neckline</t>
  </si>
  <si>
    <t>Shirt collar Multi Colour Ajrakh patch work; Light thread work with mirror</t>
  </si>
  <si>
    <t>Black colour; Red thread work with lace work in front</t>
  </si>
  <si>
    <t>Hacoba puff sleeves</t>
  </si>
  <si>
    <t>V neck; lace work and Hacoba patch at thr neck</t>
  </si>
  <si>
    <t>Dark Green colour; White thread work with lace work in front</t>
  </si>
  <si>
    <t>Off white colour; All over red black katha work; red  black thread work infront with light thread work</t>
  </si>
  <si>
    <t>Ajrakh Patch on the sleeves</t>
  </si>
  <si>
    <t>Steel blue colour with thread work; Yellow Hakoba and Lace Work in Front</t>
  </si>
  <si>
    <t>Square  neck Dress</t>
  </si>
  <si>
    <t>Army Green Colour</t>
  </si>
  <si>
    <t>Ajrakh Patch &amp; Mirror work In Front and sleeves</t>
  </si>
  <si>
    <t>Black  Colour Ikat Print</t>
  </si>
  <si>
    <t>Ajrakh patch; thread and mirror work in front</t>
  </si>
  <si>
    <t>Round V Neck</t>
  </si>
  <si>
    <t>Ajrakh Patch and Mirror work in front</t>
  </si>
  <si>
    <t>Green Colour</t>
  </si>
  <si>
    <t>Kalamkari; Ajrakh; and mirror work</t>
  </si>
  <si>
    <t>Blue Ajrakh Patch and mirror work</t>
  </si>
  <si>
    <t>Red colour; Black &amp; White Flower Print</t>
  </si>
  <si>
    <t>Black katha work All over and red &amp; White thread work</t>
  </si>
  <si>
    <t>Red katha work All over and red &amp; White thread work</t>
  </si>
  <si>
    <t>Red colour; Green Yellow thread work in Front</t>
  </si>
  <si>
    <t>Steel Blue colour Batik Print</t>
  </si>
  <si>
    <t>Light thread work</t>
  </si>
  <si>
    <t>Yellow colour Batik Print</t>
  </si>
  <si>
    <t>Cotton+Silk</t>
  </si>
  <si>
    <t>Steel Blue colour Golden pipeing</t>
  </si>
  <si>
    <t>Golden thread work</t>
  </si>
  <si>
    <t>Golden buta; multi colour with golden thread work</t>
  </si>
  <si>
    <t>Olive Green with floral print</t>
  </si>
  <si>
    <t>Round with V neck; Light thread work at the neckline</t>
  </si>
  <si>
    <t>GANCHA Aplic in front Puffed sleeves</t>
  </si>
  <si>
    <t>Bottle Green colour</t>
  </si>
  <si>
    <t>GANCHA Aplic in front; Puffed sleeves</t>
  </si>
  <si>
    <t>Musterd colour; GANCHA Aplic in front; Puffed sleeves</t>
  </si>
  <si>
    <t>Round neck; Ajrakh patch at the neckline</t>
  </si>
  <si>
    <t>Light mirror work in front; Puffed sleeves; Ajrakh patch at the bottom</t>
  </si>
  <si>
    <t>Light Green colour Batik Print</t>
  </si>
  <si>
    <t>Light thread work in front</t>
  </si>
  <si>
    <t>Pink colour Batik Print</t>
  </si>
  <si>
    <t>Purple colour Batik Print</t>
  </si>
  <si>
    <t>Jamdani work; Glass Sleeves; Colourfull patch at the back</t>
  </si>
  <si>
    <t>Purple dress; full gown</t>
  </si>
  <si>
    <t>Black colour  gown; Big white flower on the sleeves and bottom</t>
  </si>
  <si>
    <t>Blazer collar Black Top &amp; Red pencil skirt,Maroon Ajrakh print</t>
  </si>
  <si>
    <t>Blazer collar Black Top &amp; Red pencil skirt</t>
  </si>
  <si>
    <t>Shirt collar Purple Top &amp; Golden pencil skirt with Laheriya print</t>
  </si>
  <si>
    <t>Red colour; white colour threasd work at one side</t>
  </si>
  <si>
    <t>Silk + Cotton</t>
  </si>
  <si>
    <t>Lemon yellow</t>
  </si>
  <si>
    <t>Rajasthani print patch in front</t>
  </si>
  <si>
    <t>Purple colour Maheesh kurti; Angrakha style; mirror work in front with Patch work</t>
  </si>
  <si>
    <t>Blue colour Maheesh kurti</t>
  </si>
  <si>
    <t>Angrakha style; mirror work in front with Patch work</t>
  </si>
  <si>
    <t>white floral print</t>
  </si>
  <si>
    <t>Wine colour; Quarter sleeves</t>
  </si>
  <si>
    <t>Olive Green with white colour print</t>
  </si>
  <si>
    <t>Danim Blue colour</t>
  </si>
  <si>
    <t>Chinese collar; show bottons in front</t>
  </si>
  <si>
    <t>All over Jamdani work with kalamkari patch</t>
  </si>
  <si>
    <t>Angrakha style; Katha work with Lace work at the nack line</t>
  </si>
  <si>
    <t>Pink colour with colourfull strips, holter neck, sleeveless</t>
  </si>
  <si>
    <t>Pink colour with colourfull strips</t>
  </si>
  <si>
    <t>Hacoba &amp; Ajrakh patch; mirror work</t>
  </si>
  <si>
    <t>White Colour; red blue Ajrakh patch</t>
  </si>
  <si>
    <t>Navy Blue with floral print colour dress</t>
  </si>
  <si>
    <t>Tissue</t>
  </si>
  <si>
    <t>white floral Patch in front</t>
  </si>
  <si>
    <t>Round with V Neck</t>
  </si>
  <si>
    <t>Bottle Green colour; white floral Patch in front</t>
  </si>
  <si>
    <t>Yellow colour; white floral Patch in front</t>
  </si>
  <si>
    <t>Yellow colour, BIRD print, Shirt collar, Show Buttons in front</t>
  </si>
  <si>
    <t>BIRD print</t>
  </si>
  <si>
    <t>Shirt collar; Show Buttons in front</t>
  </si>
  <si>
    <t>All over KATHA work; Hacoba Shirt collar; Show Buttons in front Hacoba sleeves</t>
  </si>
  <si>
    <t>Grayish Blue colour; White patch with 3 Butterfly in front</t>
  </si>
  <si>
    <t>Ajrakh Patch with light thread work in front and mirror work</t>
  </si>
  <si>
    <t>Gray TOP with Dark Green  light thread work and mirror work; Dark green cotton pant and Dupatta</t>
  </si>
  <si>
    <t>Mustard yellow colour; All over white thread  work</t>
  </si>
  <si>
    <t>Hacoba Shirt collar</t>
  </si>
  <si>
    <t>Mustard yellow colour; Black Gamcha patch with kori and thread work</t>
  </si>
  <si>
    <t>Navy Blue Colour; Red dotted patch in front floral print Sleeves</t>
  </si>
  <si>
    <t>Black with Ajrakh patch &amp; latkans</t>
  </si>
  <si>
    <t>light thread work; Mirror work</t>
  </si>
  <si>
    <t>PEN Kalamkari; Mirror work</t>
  </si>
  <si>
    <t>Mustard yellow colour</t>
  </si>
  <si>
    <t>Rani Colour with offwhite Strips</t>
  </si>
  <si>
    <t>Lght Green Colour with offwhite Strips</t>
  </si>
  <si>
    <t>Maroon with Orange &amp; Black Thread work</t>
  </si>
  <si>
    <t>Mirror work in front</t>
  </si>
  <si>
    <t>Ochre Yellow with Red &amp; Black Thread work</t>
  </si>
  <si>
    <t>DarkBlue colour, Round neck, Heavy thread &amp; mirror work, Modal Dupatta, Blue modal Stright Pant</t>
  </si>
  <si>
    <t>DarkBlue colour; Blue modal Stright Pant</t>
  </si>
  <si>
    <t>Heavy thread &amp; mirror work; Modal Dupatta</t>
  </si>
  <si>
    <t>Black Batik kurti</t>
  </si>
  <si>
    <t>Ajrakh Patch; light thread work with kori</t>
  </si>
  <si>
    <t>Ajrakh patch front and bottom; Light thread work</t>
  </si>
  <si>
    <t>small floral print</t>
  </si>
  <si>
    <t>V neck; Ajrakh patch and Mirror Work at the neckline</t>
  </si>
  <si>
    <t>OffWhite colour; Black patch with Floral embroidery in frant</t>
  </si>
  <si>
    <t>Light Green colour</t>
  </si>
  <si>
    <t>All over Floral print</t>
  </si>
  <si>
    <t>Light lace work in front</t>
  </si>
  <si>
    <t>Offwhite colour</t>
  </si>
  <si>
    <t>shirt collar; Katha work at the collar; Front pocket and wooden show buttons</t>
  </si>
  <si>
    <t>Navy Blue Colour; Kalamkari and thred work at the neckline</t>
  </si>
  <si>
    <t>patch work</t>
  </si>
  <si>
    <t>Paan neck</t>
  </si>
  <si>
    <t>Purple-Golden colour; PEN Kalamkari</t>
  </si>
  <si>
    <t>Black-Golden colour</t>
  </si>
  <si>
    <t>PEN Kalamkari</t>
  </si>
  <si>
    <t>Mustard colour; Heavy thread work in front; Ajrakh patch at the bottom</t>
  </si>
  <si>
    <t>Black with Maroon Ajrakh Print</t>
  </si>
  <si>
    <t>Heavy thread work infront</t>
  </si>
  <si>
    <t>Offwhite with rose print with thread work; Red lace work at the  neckline &amp; bottomline</t>
  </si>
  <si>
    <t>Navy Blue with floral print with thread work; blue lace work at the neckline &amp; bottomline</t>
  </si>
  <si>
    <t>Mustard colour; shirt collar; light bits &amp; thread work; show buttons in front</t>
  </si>
  <si>
    <t>Offwhite Hacoba sleeveless Top, Maroon Ajrakh Pencil skirt</t>
  </si>
  <si>
    <t>Offwhite Hacoba sleeveless Top</t>
  </si>
  <si>
    <t>Maroon Ajrakh Pencil skirt</t>
  </si>
  <si>
    <t>multicolour print</t>
  </si>
  <si>
    <t>Blue colour; White patch work with print and thread work</t>
  </si>
  <si>
    <t>Steel Blue with white Flower print</t>
  </si>
  <si>
    <t>type</t>
  </si>
  <si>
    <t>description</t>
  </si>
  <si>
    <t>material</t>
  </si>
  <si>
    <t>color</t>
  </si>
  <si>
    <t>pattern</t>
  </si>
  <si>
    <t>neck_style</t>
  </si>
  <si>
    <t>other_details</t>
  </si>
  <si>
    <t>Dress (High-low) , Sea green with red flower, Round Neck, show buttons in front</t>
  </si>
  <si>
    <t>Dress (High-low); show buttons in front</t>
  </si>
  <si>
    <t>Sunita Mitra</t>
  </si>
  <si>
    <t>Nandita Debnath</t>
  </si>
  <si>
    <t>Sharmistha Banerjee</t>
  </si>
  <si>
    <t>S.Saha</t>
  </si>
  <si>
    <t>Souravi Sarkar</t>
  </si>
  <si>
    <t>Dhruba Mukherjee</t>
  </si>
  <si>
    <t>Moumita Dolui</t>
  </si>
  <si>
    <t>Lela Mouta</t>
  </si>
  <si>
    <t>Sonali Roy(Saler)</t>
  </si>
  <si>
    <t>Ranjana Sankhet</t>
  </si>
  <si>
    <t>Pomp Roy</t>
  </si>
  <si>
    <t>Moumita Organizer</t>
  </si>
  <si>
    <t>Runa saha</t>
  </si>
  <si>
    <t xml:space="preserve">Sumit Sapoorji </t>
  </si>
  <si>
    <t>Shika kakima</t>
  </si>
  <si>
    <t>Shilpi Das</t>
  </si>
  <si>
    <t>Tarun Chowdhury</t>
  </si>
  <si>
    <t>Krishna Dey</t>
  </si>
  <si>
    <t>Sumona Sen</t>
  </si>
  <si>
    <t>S. Pande</t>
  </si>
  <si>
    <t>Chabi Das</t>
  </si>
  <si>
    <t>Rinki pal</t>
  </si>
  <si>
    <t>Ratna Thakur</t>
  </si>
  <si>
    <t>Shampa Nag</t>
  </si>
  <si>
    <t>Puja Laketown</t>
  </si>
  <si>
    <t>Tanima Ganguli</t>
  </si>
  <si>
    <t>customer_name</t>
  </si>
  <si>
    <t>owner_name</t>
  </si>
  <si>
    <t>phone_1</t>
  </si>
  <si>
    <t>phone_2</t>
  </si>
  <si>
    <t>phone_3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</si>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</sst>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"/>
    <numFmt numFmtId="165" formatCode="&quot;₹&quot;\ #,##0.00"/>
    <numFmt numFmtId="166" formatCode="[$-14009]dd/mm/yy;@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FF0000"/>
      <name val="Aptos Narrow"/>
      <family val="2"/>
      <scheme val="minor"/>
    </font>
    <font>
      <sz val="11"/>
      <color theme="4" tint="0.39997558519241921"/>
      <name val="Calibri"/>
      <family val="2"/>
    </font>
    <font>
      <sz val="11"/>
      <color theme="3" tint="0.499984740745262"/>
      <name val="Calibri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70C0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b/>
      <sz val="11"/>
      <color rgb="FFFF0000"/>
      <name val="Calibri"/>
      <family val="2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theme="4"/>
      <name val="Calibri"/>
      <family val="2"/>
    </font>
    <font>
      <b/>
      <sz val="12"/>
      <color theme="4"/>
      <name val="Aptos Narrow"/>
      <family val="2"/>
      <scheme val="minor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164" fontId="1" fillId="0" borderId="1" xfId="0" applyNumberFormat="1" applyFont="1" applyBorder="1" applyAlignment="1">
      <alignment vertical="center" wrapText="1"/>
    </xf>
    <xf numFmtId="164" fontId="0" fillId="0" borderId="1" xfId="0" applyNumberFormat="1" applyBorder="1"/>
    <xf numFmtId="0" fontId="1" fillId="0" borderId="7" xfId="0" applyFont="1" applyBorder="1" applyAlignment="1">
      <alignment vertical="center" wrapText="1"/>
    </xf>
    <xf numFmtId="164" fontId="1" fillId="0" borderId="7" xfId="0" applyNumberFormat="1" applyFont="1" applyBorder="1" applyAlignment="1">
      <alignment vertical="center" wrapText="1"/>
    </xf>
    <xf numFmtId="14" fontId="0" fillId="0" borderId="0" xfId="0" applyNumberFormat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164" fontId="0" fillId="3" borderId="1" xfId="0" applyNumberFormat="1" applyFill="1" applyBorder="1"/>
    <xf numFmtId="0" fontId="2" fillId="0" borderId="5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/>
    <xf numFmtId="0" fontId="8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0" fontId="9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164" fontId="0" fillId="5" borderId="1" xfId="0" applyNumberFormat="1" applyFill="1" applyBorder="1"/>
    <xf numFmtId="10" fontId="0" fillId="5" borderId="1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/>
    <xf numFmtId="165" fontId="0" fillId="0" borderId="0" xfId="0" applyNumberFormat="1"/>
    <xf numFmtId="164" fontId="9" fillId="0" borderId="0" xfId="0" applyNumberFormat="1" applyFont="1"/>
    <xf numFmtId="14" fontId="0" fillId="6" borderId="14" xfId="0" applyNumberFormat="1" applyFill="1" applyBorder="1"/>
    <xf numFmtId="0" fontId="0" fillId="0" borderId="7" xfId="0" applyBorder="1"/>
    <xf numFmtId="0" fontId="2" fillId="0" borderId="4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164" fontId="8" fillId="0" borderId="7" xfId="0" applyNumberFormat="1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3" fillId="0" borderId="0" xfId="0" applyFont="1"/>
    <xf numFmtId="166" fontId="0" fillId="0" borderId="0" xfId="0" applyNumberFormat="1"/>
    <xf numFmtId="166" fontId="9" fillId="0" borderId="0" xfId="0" applyNumberFormat="1" applyFont="1"/>
    <xf numFmtId="0" fontId="1" fillId="0" borderId="1" xfId="0" quotePrefix="1" applyFont="1" applyBorder="1" applyAlignment="1">
      <alignment vertical="center" wrapText="1"/>
    </xf>
    <xf numFmtId="3" fontId="0" fillId="0" borderId="0" xfId="0" applyNumberFormat="1"/>
    <xf numFmtId="0" fontId="0" fillId="0" borderId="7" xfId="0" applyBorder="1" applyAlignment="1">
      <alignment vertical="center" wrapText="1"/>
    </xf>
    <xf numFmtId="0" fontId="14" fillId="0" borderId="1" xfId="0" applyFont="1" applyBorder="1"/>
    <xf numFmtId="0" fontId="15" fillId="0" borderId="0" xfId="0" applyFont="1"/>
    <xf numFmtId="0" fontId="14" fillId="0" borderId="0" xfId="0" applyFont="1"/>
    <xf numFmtId="0" fontId="15" fillId="0" borderId="1" xfId="0" applyFont="1" applyBorder="1"/>
    <xf numFmtId="0" fontId="14" fillId="0" borderId="7" xfId="0" applyFont="1" applyBorder="1"/>
    <xf numFmtId="3" fontId="16" fillId="0" borderId="0" xfId="0" applyNumberFormat="1" applyFont="1"/>
    <xf numFmtId="0" fontId="18" fillId="0" borderId="1" xfId="0" applyFont="1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9" fillId="0" borderId="7" xfId="0" applyFont="1" applyBorder="1"/>
    <xf numFmtId="165" fontId="17" fillId="7" borderId="0" xfId="0" applyNumberFormat="1" applyFont="1" applyFill="1"/>
    <xf numFmtId="164" fontId="9" fillId="0" borderId="1" xfId="0" applyNumberFormat="1" applyFont="1" applyBorder="1"/>
    <xf numFmtId="164" fontId="23" fillId="0" borderId="1" xfId="0" applyNumberFormat="1" applyFont="1" applyBorder="1" applyAlignment="1">
      <alignment vertical="center" wrapText="1"/>
    </xf>
    <xf numFmtId="0" fontId="0" fillId="3" borderId="0" xfId="0" applyFill="1"/>
    <xf numFmtId="0" fontId="24" fillId="0" borderId="0" xfId="2" applyFill="1"/>
    <xf numFmtId="15" fontId="0" fillId="0" borderId="0" xfId="0" applyNumberFormat="1"/>
    <xf numFmtId="0" fontId="25" fillId="0" borderId="0" xfId="0" applyFont="1"/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0" borderId="0" xfId="0" applyFont="1" applyAlignment="1">
      <alignment vertical="center" wrapText="1"/>
    </xf>
  </cellXfs>
  <cellStyles count="3">
    <cellStyle name="Hyperlink" xfId="2" builtinId="8"/>
    <cellStyle name="Normal" xfId="0" builtinId="0"/>
    <cellStyle name="Per 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#,##0.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&quot;₹&quot;#,##0.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#,##0.0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#,##0.00"/>
    </dxf>
    <dxf>
      <numFmt numFmtId="166" formatCode="[$-14009]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irtha Chakraborty" refreshedDate="45500.435543865744" createdVersion="8" refreshedVersion="8" minRefreshableVersion="3" recordCount="314" xr:uid="{ED668606-2F51-0445-9742-A177A74C65A4}">
  <cacheSource type="worksheet">
    <worksheetSource ref="A1:L919" sheet="inventory"/>
  </cacheSource>
  <cacheFields count="12">
    <cacheField name="Sr" numFmtId="0">
      <sharedItems containsString="0" containsBlank="1" containsNumber="1" containsInteger="1" minValue="1" maxValue="182"/>
    </cacheField>
    <cacheField name="Bill No." numFmtId="0">
      <sharedItems containsBlank="1" containsMixedTypes="1" containsNumber="1" containsInteger="1" minValue="1" maxValue="10"/>
    </cacheField>
    <cacheField name="Type" numFmtId="0">
      <sharedItems containsBlank="1"/>
    </cacheField>
    <cacheField name="Item Description" numFmtId="0">
      <sharedItems containsBlank="1"/>
    </cacheField>
    <cacheField name="Material" numFmtId="0">
      <sharedItems containsBlank="1"/>
    </cacheField>
    <cacheField name="Shop Name" numFmtId="0">
      <sharedItems containsBlank="1" count="5">
        <s v="N G Garments"/>
        <s v="Soma Collection"/>
        <s v="Rudra Fashion"/>
        <s v="RV Fashion"/>
        <m/>
      </sharedItems>
    </cacheField>
    <cacheField name="Avl Size" numFmtId="0">
      <sharedItems containsBlank="1"/>
    </cacheField>
    <cacheField name="Buy Price" numFmtId="164">
      <sharedItems containsString="0" containsBlank="1" containsNumber="1" containsInteger="1" minValue="0" maxValue="850"/>
    </cacheField>
    <cacheField name="Price Tag" numFmtId="164">
      <sharedItems containsString="0" containsBlank="1" containsNumber="1" containsInteger="1" minValue="345" maxValue="1200"/>
    </cacheField>
    <cacheField name="Sold" numFmtId="0">
      <sharedItems containsBlank="1"/>
    </cacheField>
    <cacheField name="Sold Price" numFmtId="164">
      <sharedItems containsString="0" containsBlank="1" containsNumber="1" containsInteger="1" minValue="0" maxValue="960"/>
    </cacheField>
    <cacheField name="Sold 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irtha Chakraborty" refreshedDate="45500.435582060185" createdVersion="8" refreshedVersion="8" minRefreshableVersion="3" recordCount="30" xr:uid="{5B1D5FC7-A575-4649-9B93-3D999BD9FF9E}">
  <cacheSource type="worksheet">
    <worksheetSource name="Table2"/>
  </cacheSource>
  <cacheFields count="7">
    <cacheField name="Sr" numFmtId="0">
      <sharedItems containsString="0" containsBlank="1" containsNumber="1" containsInteger="1" minValue="1" maxValue="28"/>
    </cacheField>
    <cacheField name="Date" numFmtId="14">
      <sharedItems containsNonDate="0" containsDate="1" containsString="0" containsBlank="1" minDate="2024-05-14T00:00:00" maxDate="2024-07-09T00:00:00"/>
    </cacheField>
    <cacheField name="Item" numFmtId="0">
      <sharedItems containsBlank="1"/>
    </cacheField>
    <cacheField name="Shop Name" numFmtId="0">
      <sharedItems containsBlank="1" count="15">
        <s v="Soma Collection"/>
        <s v="NA"/>
        <s v="N G Garments"/>
        <s v="Barobazar"/>
        <s v="Souvik Palit"/>
        <s v="Paromita's BTM"/>
        <s v="Rudra Fashion"/>
        <s v="Sristi "/>
        <s v="local shop"/>
        <s v="Arindam da"/>
        <s v="Palashi printingwork"/>
        <s v="Tamojit Ghosh"/>
        <s v="Dwitipriya Dutta"/>
        <s v="RV Fashions"/>
        <m/>
      </sharedItems>
    </cacheField>
    <cacheField name="Contact" numFmtId="0">
      <sharedItems containsBlank="1" containsMixedTypes="1" containsNumber="1" containsInteger="1" minValue="7029968104" maxValue="9830067722"/>
    </cacheField>
    <cacheField name="Expense Type" numFmtId="0">
      <sharedItems containsBlank="1" count="5">
        <s v="Garments"/>
        <s v="Transport"/>
        <s v="Misc"/>
        <s v="Rent"/>
        <m/>
      </sharedItems>
    </cacheField>
    <cacheField name="Cost" numFmtId="164">
      <sharedItems containsString="0" containsBlank="1" containsNumber="1" containsInteger="1" minValue="55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">
  <r>
    <n v="1"/>
    <n v="9"/>
    <s v="Dress"/>
    <s v="Dress (High-low) , Sea green with red flower, Round Neck, show buttens in front"/>
    <s v="Cotton with Rapid Print"/>
    <x v="0"/>
    <s v="XXL"/>
    <n v="699"/>
    <n v="899"/>
    <s v="N"/>
    <n v="0"/>
    <m/>
  </r>
  <r>
    <n v="2"/>
    <n v="9"/>
    <s v="Dress"/>
    <s v="Dress (High-low) , Sea green with red flower, Round Neck, show buttens in front"/>
    <s v="Cotton with Rapid Print"/>
    <x v="0"/>
    <s v="XL"/>
    <n v="699"/>
    <n v="899"/>
    <s v="Y"/>
    <n v="850"/>
    <s v="Sumit Sapoorji"/>
  </r>
  <r>
    <n v="3"/>
    <n v="9"/>
    <s v="Dress"/>
    <s v="Dress (High-low) , Sea green with red flower, Round Neck, show buttens in front"/>
    <s v="Cotton with Rapid Print"/>
    <x v="0"/>
    <s v="L"/>
    <n v="699"/>
    <n v="899"/>
    <s v="N"/>
    <n v="0"/>
    <m/>
  </r>
  <r>
    <n v="4"/>
    <n v="5"/>
    <s v="Dress"/>
    <s v="Gray Long shrug, Bright green colour inside, Round neck, sleeveless inside and 3 quarter sleeves shrug"/>
    <s v="Flex Cotton and shrug in Dabu print"/>
    <x v="0"/>
    <s v="L"/>
    <n v="799"/>
    <n v="999"/>
    <s v="N"/>
    <n v="0"/>
    <m/>
  </r>
  <r>
    <n v="5"/>
    <n v="5"/>
    <s v="Dress"/>
    <s v="Ochre Yellow Long shrug, Black colour inside, shrug is in ochre colour with maroon colour print, Round neck sleeveless inside and 3 quarter sleeves shrug"/>
    <s v="Flex Cotton and printed shrug"/>
    <x v="0"/>
    <s v="XXL"/>
    <n v="799"/>
    <n v="999"/>
    <s v="N"/>
    <n v="0"/>
    <m/>
  </r>
  <r>
    <n v="6"/>
    <n v="5"/>
    <s v="Dress"/>
    <s v="Ochre Yellow Long shrug, Black colour inside, shrug is in ochre colour with maroon colour print, Round neck sleeveless inside and 3 quarter sleeves shrug"/>
    <s v="Flex Cotton and printed shrug"/>
    <x v="0"/>
    <s v="XL"/>
    <n v="799"/>
    <n v="999"/>
    <s v="Y"/>
    <n v="949"/>
    <s v="Susmita Bhowmik"/>
  </r>
  <r>
    <n v="7"/>
    <n v="5"/>
    <s v="Dress"/>
    <s v="Ochre Yellow Long shrug, Black colour inside, shrug is in ochre colour with maroon colour print, Round neck sleeveless inside and 3 quarter sleeves shrug"/>
    <s v="Flex Cotton and printed shrug"/>
    <x v="0"/>
    <s v="L"/>
    <n v="799"/>
    <n v="999"/>
    <s v="N"/>
    <n v="0"/>
    <m/>
  </r>
  <r>
    <n v="8"/>
    <n v="8"/>
    <s v="Sleeveless kurti"/>
    <s v="Rapid Aline Kurti, In ochre yellow olive and blue rapid print, Shirt collar, one side pocket, wooden show buttons in front, slit at the end"/>
    <s v="Pure Cotton"/>
    <x v="0"/>
    <s v="XXL"/>
    <n v="555"/>
    <n v="755"/>
    <s v="Y"/>
    <n v="700"/>
    <s v="Sunita Rath(Emami)"/>
  </r>
  <r>
    <n v="9"/>
    <n v="8"/>
    <s v="Sleeveless kurti"/>
    <s v="Rapid Aline Kurti, In ochre yellow olive and blue rapid print, Shirt collar, one side pocket, wooden show buttons in front, slit at the end"/>
    <s v="Pure Cotton"/>
    <x v="0"/>
    <s v="XL"/>
    <n v="555"/>
    <n v="755"/>
    <s v="N"/>
    <n v="0"/>
    <m/>
  </r>
  <r>
    <n v="10"/>
    <n v="8"/>
    <s v="Sleeveless kurti"/>
    <s v="Rapid Aline Kurti, In ochre yellow olive and blue rapid print, Shirt collar, one side pocket, wooden show buttons in front, slit at the end"/>
    <s v="Pure Cotton"/>
    <x v="0"/>
    <s v="L"/>
    <n v="555"/>
    <n v="755"/>
    <s v="N"/>
    <n v="0"/>
    <m/>
  </r>
  <r>
    <n v="11"/>
    <n v="8"/>
    <s v="Sleeveless kurti"/>
    <s v="Rapid Aline Kurti, In ochre yellow olive and blue rapid print, Shirt collar, one side pocket, wooden show buttons in front, slit at the end"/>
    <s v="Pure Cotton"/>
    <x v="0"/>
    <s v="M"/>
    <n v="555"/>
    <n v="755"/>
    <s v="N"/>
    <n v="0"/>
    <m/>
  </r>
  <r>
    <n v="12"/>
    <n v="7"/>
    <s v="Sleeveless kurti"/>
    <s v="Ajrakh Aline Kurti, White colour with red black and blue ajrakh hand printed, Shirt collar, one side pocket, wooden show buttons in front, slit at the end"/>
    <s v="Pure Cotton"/>
    <x v="0"/>
    <s v="XXL"/>
    <n v="499"/>
    <n v="699"/>
    <s v="N"/>
    <n v="0"/>
    <m/>
  </r>
  <r>
    <n v="13"/>
    <n v="7"/>
    <s v="Sleeveless kurti"/>
    <s v="Ajrakh Aline Kurti, White colour with red black and blue ajrakh hand printed, Shirt collar, one side pocket, wooden show buttons in front, slit at the end"/>
    <s v="Pure Cotton"/>
    <x v="0"/>
    <s v="L"/>
    <n v="499"/>
    <n v="699"/>
    <s v="N"/>
    <n v="0"/>
    <m/>
  </r>
  <r>
    <n v="14"/>
    <n v="7"/>
    <s v="Sleeveless kurti"/>
    <s v="Ajrakh Aline Kurti, White colour with red black and blue ajrakh hand printed, Shirt collar, one side pocket, wooden show buttons in front, slit at the end"/>
    <s v="Cotton"/>
    <x v="0"/>
    <s v="M"/>
    <n v="499"/>
    <n v="699"/>
    <s v="N"/>
    <n v="0"/>
    <m/>
  </r>
  <r>
    <n v="15"/>
    <n v="6"/>
    <s v="Quarter sleeves Kurti"/>
    <s v="Malai Cotton Kurti, model silk border, Magenta colour with model silk print border, V neck, one side pocket, 3 quarter sleeves, both sides slit at the end"/>
    <s v="Malai Cotton"/>
    <x v="0"/>
    <s v="XXL"/>
    <n v="545"/>
    <n v="750"/>
    <s v="N"/>
    <n v="0"/>
    <m/>
  </r>
  <r>
    <n v="16"/>
    <n v="6"/>
    <s v="Quarter sleeves Kurti"/>
    <s v="Malai Cotton Kurti, Bottle green colour with model silk print border, V neck, one side pocket, 3 quarter sleeves, both sides slit at the end"/>
    <s v="Malai Cotton"/>
    <x v="0"/>
    <s v="XXL"/>
    <n v="545"/>
    <n v="750"/>
    <s v="N"/>
    <n v="0"/>
    <m/>
  </r>
  <r>
    <n v="17"/>
    <n v="10"/>
    <s v="3 Piece co-ord set"/>
    <s v="3 Piece co-ord set, White with green floral print, straight paint, noodle top, long shrug"/>
    <s v="60-60 Cotton"/>
    <x v="0"/>
    <s v="XXL"/>
    <n v="825"/>
    <n v="1025"/>
    <s v="N"/>
    <n v="0"/>
    <m/>
  </r>
  <r>
    <n v="18"/>
    <n v="10"/>
    <s v="3 Piece co-ord set"/>
    <s v="3 Piece co-ord set, White with orange floral print, straight paint, noodle top, long shrug"/>
    <s v="60-60 Cotton"/>
    <x v="0"/>
    <s v="XXL"/>
    <n v="825"/>
    <n v="1025"/>
    <s v="N"/>
    <n v="0"/>
    <m/>
  </r>
  <r>
    <n v="19"/>
    <n v="1"/>
    <s v="Dress"/>
    <s v="Boyfrnd dress, White strip on Red colour, Shirt collar button in fount"/>
    <s v="Cotton Ajrakh"/>
    <x v="0"/>
    <s v="M"/>
    <n v="499"/>
    <n v="699"/>
    <s v="N"/>
    <n v="0"/>
    <m/>
  </r>
  <r>
    <n v="20"/>
    <n v="1"/>
    <s v="Dress"/>
    <s v="Boyfrnd dress, White strip on Black Colour, Shirt collar button in fount"/>
    <s v="Cotton Ajrakh"/>
    <x v="0"/>
    <s v="M"/>
    <n v="499"/>
    <n v="699"/>
    <s v="N"/>
    <n v="0"/>
    <m/>
  </r>
  <r>
    <n v="21"/>
    <n v="2"/>
    <s v="Dress"/>
    <s v="Black, short shrug maroon Ajrakh print, Round neck sleeveless inside and 3 quarter sleeves short shrug"/>
    <s v="Flex Cotton and printed shrug"/>
    <x v="0"/>
    <s v="XXL"/>
    <n v="599"/>
    <n v="799"/>
    <s v="N"/>
    <n v="0"/>
    <m/>
  </r>
  <r>
    <n v="22"/>
    <n v="2"/>
    <s v="Dress"/>
    <s v="Black, short shrug maroon Ajrakh print, Round neck sleeveless inside and 3 quarter sleeves short shrug"/>
    <s v="Flex Cotton and printed shrug"/>
    <x v="0"/>
    <s v="XL"/>
    <n v="599"/>
    <n v="799"/>
    <s v="Y"/>
    <n v="799"/>
    <s v="Davi"/>
  </r>
  <r>
    <n v="23"/>
    <n v="2"/>
    <s v="Dress"/>
    <s v="Black, short shrug maroon Ajrakh print, Round neck sleeveless inside and 3 quarter sleeves short shrug"/>
    <s v="Flex Cotton and printed shrug"/>
    <x v="0"/>
    <s v="L"/>
    <n v="599"/>
    <n v="799"/>
    <s v="Y"/>
    <n v="799"/>
    <s v="Joyita Banik"/>
  </r>
  <r>
    <n v="24"/>
    <n v="3"/>
    <s v="Dress"/>
    <s v="Red, short shrug Rapid print short shrug in sea green colour with red colour rapid print, Round neck, sleeveless inside and 3 quarter sleeves short shrug"/>
    <s v="Flex Cotton inner and rapid print shrug"/>
    <x v="0"/>
    <s v="XXL"/>
    <n v="655"/>
    <n v="855"/>
    <s v="N"/>
    <n v="0"/>
    <m/>
  </r>
  <r>
    <n v="25"/>
    <n v="3"/>
    <s v="Dress"/>
    <s v="Red, short shrug Rapid print short shrug in sea green colour with red colour rapid print, Round neck, sleeveless inside and 3 quarter sleeves short shrug"/>
    <s v="Flex Cotton inner and rapid print shrug"/>
    <x v="0"/>
    <s v="XL"/>
    <n v="655"/>
    <n v="855"/>
    <s v="N"/>
    <n v="0"/>
    <m/>
  </r>
  <r>
    <n v="26"/>
    <n v="3"/>
    <s v="Dress"/>
    <s v="Red, short shrug Rapid print short shrug in sea green colour with red colour rapid print, Round neck, sleeveless inside and 3 quarter sleeves short shrug"/>
    <s v="Flex Cotton inner and rapid print shrug"/>
    <x v="0"/>
    <s v="L"/>
    <n v="655"/>
    <n v="855"/>
    <s v="N"/>
    <n v="0"/>
    <m/>
  </r>
  <r>
    <n v="27"/>
    <n v="3"/>
    <s v="Dress"/>
    <s v="Yellow, with short shrug in dark green with yellow colour rapid print, Round neck sleeveless inside and 3 quarter sleeves short shrug"/>
    <s v="Flex Cotton inner and rapid print shrug"/>
    <x v="0"/>
    <s v="XXL"/>
    <n v="655"/>
    <n v="855"/>
    <s v="N"/>
    <n v="0"/>
    <m/>
  </r>
  <r>
    <n v="28"/>
    <n v="3"/>
    <s v="Dress"/>
    <s v="Yellow, with short shrug in dark green with yellow colour rapid print, Round neck sleeveless inside and 3 quarter sleeves short shrug"/>
    <s v="Flex Cotton inner and rapid print shrug"/>
    <x v="0"/>
    <s v="XL"/>
    <n v="655"/>
    <n v="855"/>
    <s v="N"/>
    <n v="0"/>
    <m/>
  </r>
  <r>
    <n v="29"/>
    <n v="3"/>
    <s v="Dress"/>
    <s v="Yellow , with short shrug in dark green with yellow colour rapid print, Round neck sleeveless inside and 3 quarter sleeves short shrug"/>
    <s v="Flex Cotton inner and rapid print shrug"/>
    <x v="0"/>
    <s v="L"/>
    <n v="655"/>
    <n v="855"/>
    <s v="Y"/>
    <n v="800"/>
    <s v="Souravi Sur"/>
  </r>
  <r>
    <n v="30"/>
    <n v="4"/>
    <s v="2 Piece"/>
    <s v="Yellow, green floral, straight paint, Square neck, 3 show buttons in Front, sleeveless"/>
    <s v="Cotton"/>
    <x v="0"/>
    <s v="XXL"/>
    <n v="750"/>
    <n v="950"/>
    <s v="N"/>
    <n v="0"/>
    <m/>
  </r>
  <r>
    <n v="31"/>
    <n v="4"/>
    <s v="2 Piece"/>
    <s v="Yellow, green floral, straight paint, Square neck, 3 show buttons in Front, sleeveless"/>
    <s v="Cotton"/>
    <x v="0"/>
    <s v="XL"/>
    <n v="750"/>
    <n v="950"/>
    <s v="Y"/>
    <n v="950"/>
    <s v="Sudipta"/>
  </r>
  <r>
    <n v="32"/>
    <n v="4"/>
    <s v="2 Piece"/>
    <s v="Yellow, green floral, straight paint, Square neck, 3 show buttons in Front, sleeveless"/>
    <s v="Cotton"/>
    <x v="0"/>
    <s v="L"/>
    <n v="750"/>
    <n v="950"/>
    <s v="N"/>
    <n v="0"/>
    <m/>
  </r>
  <r>
    <n v="33"/>
    <n v="4"/>
    <s v="2 Piece"/>
    <s v="Yellow, green floral, straight paint, Square neck, 3 show buttons in Front, sleeveless"/>
    <s v="Cotton"/>
    <x v="0"/>
    <s v="M"/>
    <n v="750"/>
    <n v="950"/>
    <s v="N"/>
    <n v="0"/>
    <m/>
  </r>
  <r>
    <n v="34"/>
    <n v="4"/>
    <s v="2 Piece"/>
    <s v="Sky Blue, straight paint, square neck kurti with 3 show buttons in Front, sleeveless"/>
    <s v="Cotton"/>
    <x v="0"/>
    <s v="XXL"/>
    <n v="750"/>
    <n v="950"/>
    <s v="N"/>
    <n v="0"/>
    <m/>
  </r>
  <r>
    <n v="35"/>
    <n v="4"/>
    <s v="2 Piece"/>
    <s v="Sky Blue, straight paint, square neck kurti with 3 show buttons in Front, sleeveless"/>
    <s v="Cotton"/>
    <x v="0"/>
    <s v="XL"/>
    <n v="750"/>
    <n v="950"/>
    <s v="N"/>
    <n v="0"/>
    <m/>
  </r>
  <r>
    <n v="36"/>
    <n v="4"/>
    <s v="2 Piece"/>
    <s v="Sky Blue, straight paint, square neck kurti with 3 show buttons in Front, sleeveless"/>
    <s v="Cotton"/>
    <x v="0"/>
    <s v="L"/>
    <n v="750"/>
    <n v="950"/>
    <s v="N"/>
    <n v="0"/>
    <m/>
  </r>
  <r>
    <n v="37"/>
    <n v="4"/>
    <s v="2 Piece"/>
    <s v="Sky Blue, straight paint, square neck kurti with 3 show buttons in Front, sleeveless"/>
    <s v="Cotton"/>
    <x v="0"/>
    <s v="M"/>
    <n v="750"/>
    <n v="950"/>
    <s v="N"/>
    <n v="0"/>
    <m/>
  </r>
  <r>
    <n v="38"/>
    <n v="7"/>
    <s v="2 Piece"/>
    <s v="Black &amp; White Set, Round neck, straight paint, Lace work"/>
    <s v="Cotton"/>
    <x v="1"/>
    <s v="XXL"/>
    <n v="595"/>
    <n v="795"/>
    <s v="N"/>
    <n v="0"/>
    <m/>
  </r>
  <r>
    <n v="39"/>
    <n v="7"/>
    <s v="2 Piece"/>
    <s v="Black &amp; White Set, Round neck, straight paint, Lace work"/>
    <s v="Cotton"/>
    <x v="1"/>
    <s v="XL"/>
    <n v="595"/>
    <n v="795"/>
    <s v="Y"/>
    <n v="795"/>
    <s v="Sudipta"/>
  </r>
  <r>
    <n v="40"/>
    <n v="7"/>
    <s v="2 Piece"/>
    <s v="Black &amp; White Set, Round neck, straight paint, Lace work"/>
    <s v="Cotton"/>
    <x v="1"/>
    <s v="L"/>
    <n v="595"/>
    <n v="795"/>
    <s v="N"/>
    <n v="0"/>
    <m/>
  </r>
  <r>
    <n v="41"/>
    <n v="7"/>
    <s v="2 Piece"/>
    <s v="Black &amp; White Set, Round neck, straight paint, Lace work"/>
    <s v="Cotton"/>
    <x v="1"/>
    <s v="M"/>
    <n v="595"/>
    <n v="795"/>
    <s v="N"/>
    <n v="0"/>
    <m/>
  </r>
  <r>
    <n v="42"/>
    <n v="3"/>
    <s v="Dress"/>
    <s v="Baby Pink, mirror work with belt"/>
    <s v="shifon"/>
    <x v="1"/>
    <s v="M"/>
    <n v="695"/>
    <n v="895"/>
    <s v="Y"/>
    <n v="695"/>
    <s v="Sompa (owner)"/>
  </r>
  <r>
    <n v="43"/>
    <n v="3"/>
    <s v="Dress"/>
    <s v="Baby Pink, mirror work with belt"/>
    <s v="shifon"/>
    <x v="1"/>
    <s v="M"/>
    <n v="695"/>
    <n v="895"/>
    <s v="N"/>
    <n v="0"/>
    <m/>
  </r>
  <r>
    <n v="44"/>
    <n v="6"/>
    <s v="Dress"/>
    <s v="Pink, Bandhani Print Gown"/>
    <s v="shifon"/>
    <x v="1"/>
    <s v="Free"/>
    <n v="550"/>
    <n v="750"/>
    <s v="N"/>
    <n v="0"/>
    <m/>
  </r>
  <r>
    <n v="45"/>
    <n v="6"/>
    <s v="Dress"/>
    <s v="Red, Bandhani Print Gown"/>
    <s v="shifon"/>
    <x v="1"/>
    <s v="Free"/>
    <n v="550"/>
    <n v="750"/>
    <s v="N"/>
    <n v="0"/>
    <m/>
  </r>
  <r>
    <n v="46"/>
    <s v="-"/>
    <s v="2 Piece"/>
    <s v="V neck Blue and white floral print, Quarter sleeves"/>
    <s v="Cotton"/>
    <x v="2"/>
    <s v="XL"/>
    <n v="0"/>
    <n v="775"/>
    <s v="N"/>
    <n v="0"/>
    <m/>
  </r>
  <r>
    <n v="47"/>
    <s v="-"/>
    <s v="2 Piece"/>
    <s v="V neck Blue and white floral print, Quarter sleeves"/>
    <s v="Cotton"/>
    <x v="2"/>
    <s v="3XL"/>
    <n v="575"/>
    <n v="775"/>
    <s v="Y"/>
    <n v="720"/>
    <s v="Purnima Jadav"/>
  </r>
  <r>
    <n v="48"/>
    <s v="-"/>
    <s v="2 Piece"/>
    <s v="V neck Green and white floral print, Quarter sleeves"/>
    <s v="Cotton"/>
    <x v="2"/>
    <s v="XXL"/>
    <n v="575"/>
    <n v="775"/>
    <s v="N"/>
    <n v="0"/>
    <m/>
  </r>
  <r>
    <n v="49"/>
    <s v="-"/>
    <s v="2 Piece"/>
    <s v="Round neck, purple colour, Quarter sleeves"/>
    <s v="Cotton"/>
    <x v="1"/>
    <s v="XL"/>
    <n v="570"/>
    <n v="770"/>
    <s v="Y"/>
    <n v="700"/>
    <s v="Moumita Das"/>
  </r>
  <r>
    <n v="50"/>
    <s v="-"/>
    <s v="2 Piece"/>
    <s v="Round neck, purple colour, Quarter sleeves"/>
    <s v="Cotton"/>
    <x v="1"/>
    <s v="XXL"/>
    <n v="570"/>
    <n v="770"/>
    <s v="N"/>
    <n v="0"/>
    <m/>
  </r>
  <r>
    <n v="51"/>
    <s v="-"/>
    <s v="2 Piece"/>
    <s v="Round neck, peach colour, Quarter sleeves"/>
    <s v="Cotton"/>
    <x v="1"/>
    <s v="XL"/>
    <n v="570"/>
    <n v="770"/>
    <s v="N"/>
    <n v="0"/>
    <m/>
  </r>
  <r>
    <n v="52"/>
    <s v="-"/>
    <s v="2 Piece"/>
    <s v="Round neck, Mustard Yellow colour, Quarter sleeves"/>
    <s v="Cotton"/>
    <x v="1"/>
    <s v="XXL"/>
    <n v="570"/>
    <n v="770"/>
    <s v="Y"/>
    <n v="750"/>
    <s v="Bandana Shing"/>
  </r>
  <r>
    <n v="53"/>
    <s v="-"/>
    <s v="2 Piece"/>
    <s v="Round neck, Mustard Yellow colour, Quarter sleeves"/>
    <s v="Cotton"/>
    <x v="1"/>
    <s v="XL"/>
    <n v="570"/>
    <n v="770"/>
    <s v="N"/>
    <n v="0"/>
    <m/>
  </r>
  <r>
    <n v="54"/>
    <s v="-"/>
    <s v="2 Piece"/>
    <s v="V neck White with Blue flower print, Quarter sleeves"/>
    <s v="Cotton"/>
    <x v="2"/>
    <s v="XL"/>
    <n v="575"/>
    <n v="775"/>
    <s v="N"/>
    <n v="0"/>
    <m/>
  </r>
  <r>
    <n v="55"/>
    <s v="-"/>
    <s v="2 Piece"/>
    <s v="V neck White with Blue flower print, Quarter sleeves"/>
    <s v="Cotton"/>
    <x v="2"/>
    <s v="L"/>
    <n v="575"/>
    <n v="775"/>
    <s v="N"/>
    <n v="0"/>
    <m/>
  </r>
  <r>
    <n v="56"/>
    <s v="-"/>
    <s v="Short top"/>
    <s v="Pink, Round Neck, Sleeveless"/>
    <s v="Cotton"/>
    <x v="2"/>
    <s v="XL"/>
    <n v="145"/>
    <n v="345"/>
    <s v="N"/>
    <n v="0"/>
    <m/>
  </r>
  <r>
    <n v="57"/>
    <s v="-"/>
    <s v="Short top"/>
    <s v="Yellow, Round Neck, Sleeveless"/>
    <s v="Cotton"/>
    <x v="2"/>
    <s v="L"/>
    <n v="145"/>
    <n v="345"/>
    <s v="N"/>
    <n v="0"/>
    <m/>
  </r>
  <r>
    <n v="58"/>
    <s v="-"/>
    <s v="Short top"/>
    <s v="Green, Round Neck, Sleeveless"/>
    <s v="Cotton"/>
    <x v="2"/>
    <s v="L"/>
    <n v="145"/>
    <n v="345"/>
    <s v="N"/>
    <n v="0"/>
    <m/>
  </r>
  <r>
    <n v="59"/>
    <s v="-"/>
    <s v="Dress"/>
    <s v="Pink, Shirt collar, Sleeveless"/>
    <s v="Cotton"/>
    <x v="2"/>
    <s v="XXL"/>
    <n v="465"/>
    <n v="665"/>
    <s v="N"/>
    <n v="0"/>
    <m/>
  </r>
  <r>
    <n v="60"/>
    <s v="-"/>
    <s v="Dress"/>
    <s v="Sea Green, Shirt collar, Sleeveless"/>
    <s v="Cotton"/>
    <x v="2"/>
    <s v="XXL"/>
    <n v="465"/>
    <n v="665"/>
    <s v="N"/>
    <n v="0"/>
    <m/>
  </r>
  <r>
    <n v="61"/>
    <s v="-"/>
    <s v="Dress"/>
    <s v="Yellow, Shirt collar, Sleeveless"/>
    <s v="Cotton"/>
    <x v="2"/>
    <s v="XL"/>
    <n v="465"/>
    <n v="665"/>
    <s v="Y"/>
    <n v="665"/>
    <s v="Sudipta"/>
  </r>
  <r>
    <n v="62"/>
    <s v="-"/>
    <s v="Dress"/>
    <s v="Yellow, Shirt collar, Sleeveless"/>
    <s v="Cotton"/>
    <x v="2"/>
    <s v="L"/>
    <n v="465"/>
    <n v="665"/>
    <s v="Y"/>
    <n v="665"/>
    <s v="Bubli Didi"/>
  </r>
  <r>
    <n v="63"/>
    <s v="-"/>
    <s v="Dress"/>
    <s v="Yellow, Shirt collar, Sleeveless"/>
    <s v="Cotton"/>
    <x v="2"/>
    <s v="L"/>
    <n v="465"/>
    <n v="665"/>
    <s v="Y"/>
    <n v="600"/>
    <s v="Preeti Kumari Sapoorji"/>
  </r>
  <r>
    <n v="64"/>
    <s v="-"/>
    <s v="Dress"/>
    <s v="Yellow, Shirt collar, Sleeveless"/>
    <s v="Cotton"/>
    <x v="2"/>
    <s v="XXL"/>
    <n v="465"/>
    <n v="665"/>
    <s v="Y"/>
    <n v="665"/>
    <s v="Sipra Mukherjee"/>
  </r>
  <r>
    <n v="65"/>
    <s v="-"/>
    <s v="Dress"/>
    <s v="Yellow, Shirt collar, Sleeveless"/>
    <s v="Cotton"/>
    <x v="2"/>
    <s v="XXL"/>
    <n v="465"/>
    <n v="665"/>
    <s v="N"/>
    <n v="0"/>
    <m/>
  </r>
  <r>
    <n v="66"/>
    <s v="-"/>
    <s v="Dress"/>
    <s v="Purple, Round Neck, Sleeveless"/>
    <s v="Cotton"/>
    <x v="2"/>
    <s v="XL"/>
    <n v="415"/>
    <n v="615"/>
    <s v="N"/>
    <n v="0"/>
    <m/>
  </r>
  <r>
    <n v="67"/>
    <s v="-"/>
    <s v="Dress"/>
    <s v="Blue with White Flower, Round Neck, Sleeveless"/>
    <s v="Cotton"/>
    <x v="1"/>
    <s v="XL"/>
    <n v="420"/>
    <n v="620"/>
    <s v="Y"/>
    <n v="553"/>
    <s v="Panchali Sapoorji"/>
  </r>
  <r>
    <n v="68"/>
    <s v="-"/>
    <s v="Dress"/>
    <s v="Black with White Flower, Round Neck, Sleeveless"/>
    <s v="Cotton"/>
    <x v="1"/>
    <s v="3XL"/>
    <n v="420"/>
    <n v="620"/>
    <s v="N"/>
    <n v="0"/>
    <m/>
  </r>
  <r>
    <n v="69"/>
    <s v="-"/>
    <s v="Quarter sleeves Kurti"/>
    <s v="Red, Round neck, light thread works in front "/>
    <s v="Cotton"/>
    <x v="1"/>
    <s v="XXL"/>
    <n v="295"/>
    <n v="495"/>
    <s v="N"/>
    <n v="0"/>
    <m/>
  </r>
  <r>
    <n v="70"/>
    <s v="-"/>
    <s v="Quarter sleeves Kurti"/>
    <s v="Navy Blue, Round neck, light thread works in front "/>
    <s v="Cotton"/>
    <x v="1"/>
    <s v="XXL"/>
    <n v="295"/>
    <n v="495"/>
    <s v="N"/>
    <n v="0"/>
    <m/>
  </r>
  <r>
    <n v="71"/>
    <s v="-"/>
    <s v="Quarter sleeves Kurti"/>
    <s v="Green, Round neck, light thread works in front "/>
    <s v="Cotton"/>
    <x v="1"/>
    <s v="3XL"/>
    <n v="295"/>
    <n v="495"/>
    <s v="N"/>
    <n v="0"/>
    <m/>
  </r>
  <r>
    <n v="72"/>
    <s v="-"/>
    <s v="Quarter sleeves Kurti"/>
    <s v="Robin Blue, Round neck, light thread works in front "/>
    <s v="Cotton"/>
    <x v="1"/>
    <s v="XL"/>
    <n v="295"/>
    <n v="495"/>
    <s v="N"/>
    <n v="0"/>
    <m/>
  </r>
  <r>
    <n v="73"/>
    <s v="-"/>
    <s v="Quarter sleeves Kurti"/>
    <s v="Purple with white floral print, Round neck, light thread works in front "/>
    <s v="Cotton"/>
    <x v="1"/>
    <s v="XL"/>
    <n v="395"/>
    <n v="595"/>
    <s v="Y"/>
    <n v="595"/>
    <s v="Puja"/>
  </r>
  <r>
    <n v="74"/>
    <s v="-"/>
    <s v="Quarter sleeves Kurti"/>
    <s v="SkyBlue with white floral print, Round neck, light thread works in front "/>
    <s v="Cotton"/>
    <x v="1"/>
    <s v="XXL"/>
    <n v="395"/>
    <n v="595"/>
    <s v="N"/>
    <n v="0"/>
    <m/>
  </r>
  <r>
    <n v="75"/>
    <s v="-"/>
    <s v="Quarter sleeves Kurti"/>
    <s v="SkyBlue with white floral print, Round neck, light thread works in front "/>
    <s v="Cotton"/>
    <x v="1"/>
    <s v="XL"/>
    <n v="395"/>
    <n v="595"/>
    <s v="N"/>
    <n v="0"/>
    <m/>
  </r>
  <r>
    <n v="76"/>
    <s v="-"/>
    <s v="Quarter sleeves Kurti"/>
    <s v="Yellow with white floral print, round neck, light thread works in front "/>
    <s v="Cotton"/>
    <x v="1"/>
    <s v="XXL"/>
    <n v="395"/>
    <n v="595"/>
    <s v="N"/>
    <n v="0"/>
    <m/>
  </r>
  <r>
    <n v="77"/>
    <s v="-"/>
    <s v="Quarter sleeves Kurti"/>
    <s v="Yellow, kalamkari print, aplic with DUCK thread works in front "/>
    <s v="Cotton"/>
    <x v="1"/>
    <s v="L"/>
    <n v="230"/>
    <n v="430"/>
    <s v="N"/>
    <n v="0"/>
    <m/>
  </r>
  <r>
    <n v="78"/>
    <s v="-"/>
    <s v="Quarter sleeves Kurti"/>
    <s v="Blue, kalamkari print,Round neck, aplic with DUCK thread works in front "/>
    <s v="Cotton"/>
    <x v="1"/>
    <s v="L"/>
    <n v="230"/>
    <n v="430"/>
    <s v="N"/>
    <n v="0"/>
    <m/>
  </r>
  <r>
    <n v="79"/>
    <s v="-"/>
    <s v="Quarter sleeves Kurti"/>
    <s v="Green,kalamkari print, Round neck, aplic with DUCK thread works in front "/>
    <s v="Cotton"/>
    <x v="1"/>
    <s v="L"/>
    <n v="230"/>
    <n v="430"/>
    <s v="N"/>
    <n v="0"/>
    <m/>
  </r>
  <r>
    <n v="80"/>
    <s v="-"/>
    <s v="Quarter sleeves Kurti"/>
    <s v="Maroon, kalamkari print, Round neck, aplic with DUCK thread works in front "/>
    <s v="Cotton"/>
    <x v="1"/>
    <s v="L"/>
    <n v="230"/>
    <n v="430"/>
    <s v="N"/>
    <n v="0"/>
    <m/>
  </r>
  <r>
    <n v="81"/>
    <s v="-"/>
    <s v="Quarter sleeves Kurti"/>
    <s v="Red with Floral print, V neck"/>
    <s v="Cotton"/>
    <x v="1"/>
    <s v="L"/>
    <n v="395"/>
    <n v="595"/>
    <s v="Y"/>
    <n v="558"/>
    <s v="Panchali Sapoorji"/>
  </r>
  <r>
    <n v="82"/>
    <s v="-"/>
    <s v="Quarter sleeves Kurti"/>
    <s v="Yellow with Floral print, V neck"/>
    <s v="Cotton"/>
    <x v="1"/>
    <s v="L"/>
    <n v="395"/>
    <n v="595"/>
    <s v="N"/>
    <n v="0"/>
    <m/>
  </r>
  <r>
    <n v="83"/>
    <s v="-"/>
    <s v="Quarter sleeves Kurti"/>
    <s v="Robin Blue with Floral print, V neck"/>
    <s v="Cotton"/>
    <x v="1"/>
    <s v="XXL"/>
    <n v="395"/>
    <n v="595"/>
    <s v="N"/>
    <n v="0"/>
    <m/>
  </r>
  <r>
    <n v="84"/>
    <s v="-"/>
    <s v="Quarter sleeves Kurti"/>
    <s v="Black with Floral print, V neck"/>
    <s v="Cotton"/>
    <x v="1"/>
    <s v="XXL"/>
    <n v="395"/>
    <n v="595"/>
    <s v="N"/>
    <n v="0"/>
    <m/>
  </r>
  <r>
    <n v="85"/>
    <s v="-"/>
    <s v="Quarter sleeves Kurti"/>
    <s v="Chocolate Brown, angrakha"/>
    <s v="Cotton"/>
    <x v="2"/>
    <s v="XXL"/>
    <n v="425"/>
    <n v="625"/>
    <s v="N"/>
    <n v="0"/>
    <m/>
  </r>
  <r>
    <n v="86"/>
    <s v="-"/>
    <s v="Quarter sleeves Kurti"/>
    <s v="Chocolate Brown, angrakha"/>
    <s v="Cotton"/>
    <x v="2"/>
    <s v="L"/>
    <n v="425"/>
    <n v="625"/>
    <s v="N"/>
    <n v="0"/>
    <m/>
  </r>
  <r>
    <n v="87"/>
    <s v="-"/>
    <s v="Quarter sleeves Kurti"/>
    <s v="Red-White-Black kurti, Round Neck, thread work"/>
    <s v="Cotton"/>
    <x v="2"/>
    <s v="XL"/>
    <n v="360"/>
    <n v="560"/>
    <s v="Y"/>
    <n v="511"/>
    <s v="Susmita Bhowmik"/>
  </r>
  <r>
    <n v="88"/>
    <s v="-"/>
    <s v="Quarter sleeves Kurti"/>
    <s v="Black-White-Red kurti, Round Neck, thread work"/>
    <s v="Cotton"/>
    <x v="2"/>
    <s v="XL"/>
    <n v="360"/>
    <n v="560"/>
    <s v="N"/>
    <n v="0"/>
    <m/>
  </r>
  <r>
    <n v="89"/>
    <s v="-"/>
    <s v="Quarter sleeves Kurti"/>
    <s v="Pink, V Neck, angrakha style, thread work"/>
    <s v="Cotton"/>
    <x v="2"/>
    <s v="XL"/>
    <n v="345"/>
    <n v="545"/>
    <s v="N"/>
    <n v="0"/>
    <m/>
  </r>
  <r>
    <n v="90"/>
    <s v="-"/>
    <s v="Quarter sleeves Kurti"/>
    <s v="Pink, Round Neck, angrakha style thread work"/>
    <s v="Cotton"/>
    <x v="2"/>
    <s v="L"/>
    <n v="395"/>
    <n v="595"/>
    <s v="N"/>
    <n v="0"/>
    <m/>
  </r>
  <r>
    <n v="91"/>
    <n v="3"/>
    <s v="Quarter sleeves Kurti"/>
    <s v="Maroon, Round Neck, Ajrakh print &amp; thread work in front"/>
    <s v="Cotton"/>
    <x v="2"/>
    <s v="M"/>
    <n v="485"/>
    <n v="685"/>
    <s v="N"/>
    <n v="0"/>
    <m/>
  </r>
  <r>
    <n v="92"/>
    <n v="5"/>
    <s v="Quarter sleeves Kurti"/>
    <s v="Navy Blue, V Neck, Ajrakh Border around the neck"/>
    <s v="Cotton"/>
    <x v="2"/>
    <s v="M"/>
    <n v="485"/>
    <n v="685"/>
    <s v="N"/>
    <n v="0"/>
    <m/>
  </r>
  <r>
    <n v="93"/>
    <s v="-"/>
    <s v="Quarter sleeves Kurti"/>
    <s v="Maroon, V Neck, thread work in front"/>
    <s v="Reyon"/>
    <x v="2"/>
    <s v="L"/>
    <n v="385"/>
    <n v="585"/>
    <s v="N"/>
    <n v="0"/>
    <m/>
  </r>
  <r>
    <n v="94"/>
    <m/>
    <s v="Noodle kurti"/>
    <s v="Zed black, Molmol,sleeveless, print and light thread work in front"/>
    <s v="Cotton"/>
    <x v="2"/>
    <s v="M"/>
    <n v="525"/>
    <n v="725"/>
    <s v="Y"/>
    <n v="675"/>
    <s v="Sathi Chakraborty"/>
  </r>
  <r>
    <n v="95"/>
    <m/>
    <s v="Noodle kurti"/>
    <s v="Zed black, Molmol,sleeveless, print and light thread work in front"/>
    <s v="Cotton"/>
    <x v="2"/>
    <s v="3XL"/>
    <n v="525"/>
    <n v="725"/>
    <s v="Y"/>
    <n v="725"/>
    <s v="Piyali"/>
  </r>
  <r>
    <n v="96"/>
    <s v="-"/>
    <s v="Noodle kurti"/>
    <s v="Zed black, Molmol,sleeveless, print and light thread work in front"/>
    <s v="Cotton"/>
    <x v="2"/>
    <s v="L"/>
    <n v="525"/>
    <n v="725"/>
    <s v="N"/>
    <n v="0"/>
    <m/>
  </r>
  <r>
    <n v="97"/>
    <s v="-"/>
    <s v="Noodle kurti"/>
    <s v="Ochre Yellow, sleeveless, print and light thread work in front"/>
    <s v="Cotton"/>
    <x v="2"/>
    <s v="3XL"/>
    <n v="485"/>
    <n v="685"/>
    <s v="N"/>
    <n v="0"/>
    <m/>
  </r>
  <r>
    <n v="98"/>
    <s v="-"/>
    <s v="Noodle kurti"/>
    <s v="Ochre Yellow, sleeveless, print and light thread work in front"/>
    <s v="Cotton"/>
    <x v="2"/>
    <s v="M"/>
    <n v="485"/>
    <n v="685"/>
    <s v="Y"/>
    <n v="685"/>
    <s v="Sujata"/>
  </r>
  <r>
    <n v="99"/>
    <s v="-"/>
    <s v="Noodle kurti"/>
    <s v="Maroon sleeveless, All over print and light thread work "/>
    <s v="Cotton"/>
    <x v="2"/>
    <s v="XL"/>
    <n v="215"/>
    <n v="415"/>
    <s v="N"/>
    <n v="0"/>
    <m/>
  </r>
  <r>
    <n v="100"/>
    <s v="-"/>
    <s v="Noodle kurti"/>
    <s v="Black sleeveless, All over print and light thread work "/>
    <s v="Cotton"/>
    <x v="2"/>
    <s v="XL"/>
    <n v="215"/>
    <n v="415"/>
    <s v="N"/>
    <n v="0"/>
    <m/>
  </r>
  <r>
    <n v="101"/>
    <s v="-"/>
    <s v="Noodle kurti"/>
    <s v="Chocolate Brown, sleeveless, All over print and light thread work "/>
    <s v="Cotton"/>
    <x v="2"/>
    <s v="XL"/>
    <n v="215"/>
    <n v="415"/>
    <s v="N"/>
    <n v="0"/>
    <m/>
  </r>
  <r>
    <n v="102"/>
    <s v="-"/>
    <s v="Halter neck kurti"/>
    <s v="Yellow, Sleeveless, Hacoba"/>
    <s v="Cotton"/>
    <x v="2"/>
    <s v="XXL"/>
    <n v="525"/>
    <n v="725"/>
    <s v="N"/>
    <n v="0"/>
    <m/>
  </r>
  <r>
    <n v="103"/>
    <s v="-"/>
    <s v="Sleeveless kurti"/>
    <s v="Black, Kalamkari all over printed "/>
    <s v="Cotton"/>
    <x v="1"/>
    <s v="XXL"/>
    <n v="150"/>
    <n v="350"/>
    <s v="N"/>
    <n v="0"/>
    <m/>
  </r>
  <r>
    <n v="104"/>
    <s v="-"/>
    <s v="Sleeveless kurti"/>
    <s v="Black, Kalamkari all over printed "/>
    <s v="Cotton"/>
    <x v="1"/>
    <s v="XXL"/>
    <n v="150"/>
    <n v="350"/>
    <s v="N"/>
    <n v="0"/>
    <m/>
  </r>
  <r>
    <n v="105"/>
    <s v="-"/>
    <s v="Sleeveless kurti"/>
    <s v="Maroon, all over printed "/>
    <s v="Cotton"/>
    <x v="1"/>
    <s v="XXL"/>
    <n v="150"/>
    <n v="350"/>
    <s v="N"/>
    <n v="0"/>
    <m/>
  </r>
  <r>
    <n v="106"/>
    <s v="-"/>
    <s v="Sleeveless kurti"/>
    <s v="Maroon, all over printed "/>
    <s v="Cotton"/>
    <x v="1"/>
    <s v="XXL"/>
    <n v="150"/>
    <n v="350"/>
    <s v="N"/>
    <n v="0"/>
    <m/>
  </r>
  <r>
    <n v="107"/>
    <s v="-"/>
    <s v="Sleeveless kurti"/>
    <s v="Yellow, all over White zig zag print, light thread works in front"/>
    <s v="Cotton"/>
    <x v="1"/>
    <s v="XXL"/>
    <n v="340"/>
    <n v="540"/>
    <s v="N"/>
    <n v="0"/>
    <m/>
  </r>
  <r>
    <n v="108"/>
    <s v="-"/>
    <s v="Sleeveless kurti"/>
    <s v="Yellow, all over White zig zag print, light thread works in front"/>
    <s v="Cotton"/>
    <x v="1"/>
    <s v="XL"/>
    <n v="340"/>
    <n v="540"/>
    <s v="N"/>
    <n v="0"/>
    <m/>
  </r>
  <r>
    <n v="109"/>
    <s v="-"/>
    <s v="Sleeveless kurti"/>
    <s v="Pink, all over White Floral print"/>
    <s v="Cotton"/>
    <x v="1"/>
    <s v="XL"/>
    <n v="340"/>
    <n v="540"/>
    <s v="N"/>
    <n v="0"/>
    <m/>
  </r>
  <r>
    <n v="110"/>
    <s v="-"/>
    <s v="Sleeveless kurti"/>
    <s v="Dark Green, all over White Floral print, light thread work in front"/>
    <s v="Cotton"/>
    <x v="1"/>
    <s v="XL"/>
    <n v="285"/>
    <n v="485"/>
    <s v="N"/>
    <n v="0"/>
    <m/>
  </r>
  <r>
    <n v="111"/>
    <s v="-"/>
    <s v="Sleeveless kurti"/>
    <s v="Gray, all over White Floral print, light thread work in front"/>
    <s v="Cotton"/>
    <x v="1"/>
    <s v="XL"/>
    <n v="285"/>
    <n v="485"/>
    <s v="N"/>
    <n v="0"/>
    <m/>
  </r>
  <r>
    <n v="112"/>
    <s v="-"/>
    <s v="Sleeveless kurti"/>
    <s v="white, Aplic work kurti"/>
    <s v="Cotton"/>
    <x v="2"/>
    <s v="XXL"/>
    <n v="485"/>
    <n v="685"/>
    <s v="N"/>
    <n v="0"/>
    <m/>
  </r>
  <r>
    <n v="113"/>
    <s v="-"/>
    <s v="Sleeveless kurti"/>
    <s v="Black, Aplic work kurti"/>
    <s v="Cotton"/>
    <x v="2"/>
    <s v="XXL"/>
    <n v="485"/>
    <n v="685"/>
    <s v="N"/>
    <n v="0"/>
    <m/>
  </r>
  <r>
    <n v="114"/>
    <s v="-"/>
    <s v="Sleeveless kurti"/>
    <s v="Black and red kurti"/>
    <s v="Cotton"/>
    <x v="2"/>
    <s v="M"/>
    <n v="365"/>
    <n v="565"/>
    <s v="Y"/>
    <n v="565"/>
    <s v="chaitali"/>
  </r>
  <r>
    <n v="115"/>
    <s v="-"/>
    <s v="Sleeveless kurti"/>
    <s v="Black, Angrakha style, V Neck, Lace work on neckline"/>
    <s v="Cotton"/>
    <x v="2"/>
    <s v="L"/>
    <n v="395"/>
    <n v="595"/>
    <s v="Y"/>
    <n v="595"/>
    <s v="chaitali"/>
  </r>
  <r>
    <n v="116"/>
    <s v="-"/>
    <s v="Sleeveless kurti"/>
    <s v="Black, Angrakha style, V Neck, Lace work on neckline"/>
    <s v="Cotton"/>
    <x v="2"/>
    <s v="XL"/>
    <n v="0"/>
    <n v="595"/>
    <s v="N"/>
    <n v="0"/>
    <m/>
  </r>
  <r>
    <n v="117"/>
    <s v="-"/>
    <s v="Sleeveless kurti"/>
    <s v="Multi Colour, Angrakha style, V Neck, thread work in front"/>
    <s v="Cotton"/>
    <x v="2"/>
    <s v="XXL"/>
    <n v="485"/>
    <n v="685"/>
    <s v="N"/>
    <n v="0"/>
    <m/>
  </r>
  <r>
    <n v="118"/>
    <s v="-"/>
    <s v="Sleeveless kurti"/>
    <s v="White with Multi Colour Strips, V Neck"/>
    <s v="Cotton"/>
    <x v="2"/>
    <s v="XL"/>
    <n v="425"/>
    <n v="625"/>
    <s v="N"/>
    <n v="0"/>
    <m/>
  </r>
  <r>
    <n v="119"/>
    <s v="-"/>
    <s v="Sleeveless kurti"/>
    <s v="Blue, All over sky blue &amp; red thread work, round neck"/>
    <s v="Cotton"/>
    <x v="2"/>
    <s v="XL"/>
    <n v="465"/>
    <n v="665"/>
    <s v="N"/>
    <n v="0"/>
    <m/>
  </r>
  <r>
    <n v="120"/>
    <s v="-"/>
    <s v="Sleeveless kurti"/>
    <s v="Magenta middle &amp; white both side, round neck, light thread work"/>
    <s v="Cotton"/>
    <x v="2"/>
    <s v="L"/>
    <n v="325"/>
    <n v="525"/>
    <s v="N"/>
    <n v="0"/>
    <m/>
  </r>
  <r>
    <n v="121"/>
    <s v="-"/>
    <s v="Sleeveless kurti"/>
    <s v="White with sky blue strips, round neck, light red strip thread work"/>
    <s v="Cotton"/>
    <x v="2"/>
    <s v="L"/>
    <n v="225"/>
    <n v="425"/>
    <s v="N"/>
    <n v="0"/>
    <m/>
  </r>
  <r>
    <n v="122"/>
    <s v="-"/>
    <s v="Sleeveless kurti"/>
    <s v="Blue Bandni Kurti"/>
    <s v="Cotton"/>
    <x v="2"/>
    <s v="M"/>
    <n v="465"/>
    <n v="765"/>
    <s v="Y"/>
    <n v="600"/>
    <s v="Sathi Chakraborty"/>
  </r>
  <r>
    <n v="123"/>
    <s v="-"/>
    <s v="Sleeveless kurti"/>
    <s v="Indigo, round neck, All over printed light red thread work"/>
    <s v="Cotton"/>
    <x v="2"/>
    <s v="XL"/>
    <n v="215"/>
    <n v="415"/>
    <s v="N"/>
    <n v="0"/>
    <m/>
  </r>
  <r>
    <n v="124"/>
    <s v="-"/>
    <s v="Quarter sleeves Kurti"/>
    <s v="Maroon-Blue, angrakha style, lace thread work in front"/>
    <s v="Modal silk"/>
    <x v="3"/>
    <s v="XXL"/>
    <n v="850"/>
    <n v="1200"/>
    <s v="N"/>
    <n v="0"/>
    <m/>
  </r>
  <r>
    <n v="125"/>
    <s v="-"/>
    <s v="Quarter sleeves Kurti"/>
    <s v="Maroon-Blue, angrakha style, lace thread work in front"/>
    <s v="Modal silk"/>
    <x v="3"/>
    <s v="XL"/>
    <n v="850"/>
    <n v="1200"/>
    <s v="N"/>
    <n v="0"/>
    <m/>
  </r>
  <r>
    <n v="126"/>
    <s v="-"/>
    <s v="Quarter sleeves Kurti"/>
    <s v="Maroon-Blue, angrakha style, lace thread work in front"/>
    <s v="Modal silk"/>
    <x v="3"/>
    <s v="L"/>
    <n v="850"/>
    <n v="1200"/>
    <s v="N"/>
    <n v="0"/>
    <m/>
  </r>
  <r>
    <n v="127"/>
    <s v="-"/>
    <s v="Dress"/>
    <s v="Bottle Green, Shirt collar, Sleeveless, floral Print"/>
    <s v="Cotton + Rayon"/>
    <x v="3"/>
    <s v="XL"/>
    <n v="530"/>
    <n v="730"/>
    <s v="N"/>
    <n v="0"/>
    <m/>
  </r>
  <r>
    <n v="128"/>
    <s v="-"/>
    <s v="Dress"/>
    <s v="Bottle Green, Shirt collar, Sleeveless, floral Print"/>
    <s v="Cotton + Rayon"/>
    <x v="3"/>
    <s v="M"/>
    <n v="530"/>
    <n v="730"/>
    <s v="N"/>
    <n v="0"/>
    <m/>
  </r>
  <r>
    <n v="129"/>
    <s v="-"/>
    <s v="Dress"/>
    <s v="White with multi colour, Shirt collar, Sleeveless, floral Print"/>
    <s v="Cotton + Rayon"/>
    <x v="3"/>
    <s v="XL"/>
    <n v="530"/>
    <n v="750"/>
    <s v="Y"/>
    <n v="730"/>
    <s v="Anju Halder"/>
  </r>
  <r>
    <n v="130"/>
    <s v="-"/>
    <s v="Dress"/>
    <s v="White with multi colour, Shirt collar, Sleeveless, floral Print"/>
    <s v="Cotton + Rayon"/>
    <x v="3"/>
    <s v="M"/>
    <n v="530"/>
    <n v="750"/>
    <s v="Y"/>
    <n v="750"/>
    <s v="tutun"/>
  </r>
  <r>
    <n v="131"/>
    <s v="-"/>
    <s v="Dress"/>
    <s v="White, Hacoba gown all over thread work"/>
    <s v="Cotton"/>
    <x v="1"/>
    <s v="XXL"/>
    <n v="800"/>
    <n v="1000"/>
    <s v="Y"/>
    <n v="960"/>
    <s v="shika Kakima"/>
  </r>
  <r>
    <n v="132"/>
    <s v="-"/>
    <s v="Dress"/>
    <s v="White, Hacoba gown all over thread work"/>
    <s v="Cotton"/>
    <x v="1"/>
    <s v="XL"/>
    <n v="750"/>
    <n v="950"/>
    <s v="N"/>
    <n v="0"/>
    <m/>
  </r>
  <r>
    <n v="133"/>
    <m/>
    <s v="Quarter sleeves Kurti"/>
    <s v="Purple Kurti"/>
    <s v="Cotton"/>
    <x v="2"/>
    <s v="XL"/>
    <n v="395"/>
    <n v="595"/>
    <s v="Y"/>
    <n v="595"/>
    <s v="Arpita Saha"/>
  </r>
  <r>
    <n v="134"/>
    <m/>
    <s v="Quarter sleeves Kurti"/>
    <s v="Purple Kurti"/>
    <s v="Cotton"/>
    <x v="2"/>
    <s v="L"/>
    <n v="395"/>
    <n v="595"/>
    <s v="Y"/>
    <n v="595"/>
    <s v="Runa Saha"/>
  </r>
  <r>
    <n v="135"/>
    <m/>
    <s v="Noodle kurti"/>
    <s v="black-red noodle kurti"/>
    <s v="Cotton"/>
    <x v="2"/>
    <s v="M"/>
    <n v="485"/>
    <n v="685"/>
    <s v="Y"/>
    <n v="685"/>
    <s v="Riya"/>
  </r>
  <r>
    <n v="136"/>
    <m/>
    <s v="Sleeveless kurti"/>
    <s v="Light Green Kurti"/>
    <s v="Cotton"/>
    <x v="2"/>
    <s v="L"/>
    <n v="225"/>
    <n v="425"/>
    <s v="Y"/>
    <n v="425"/>
    <s v="Bhaswati Mukherjee"/>
  </r>
  <r>
    <n v="137"/>
    <n v="10"/>
    <s v="3 Piece co-ord set"/>
    <s v="3 Piece co-ord set, White with green floral print, straight paint, noodle top, long shrug"/>
    <s v="60-60 Cotton"/>
    <x v="0"/>
    <s v="XXL"/>
    <n v="825"/>
    <n v="1025"/>
    <s v="N"/>
    <n v="0"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m/>
    <m/>
    <m/>
    <m/>
    <m/>
    <x v="4"/>
    <m/>
    <m/>
    <m/>
    <m/>
    <m/>
    <m/>
  </r>
  <r>
    <n v="117"/>
    <m/>
    <m/>
    <m/>
    <m/>
    <x v="4"/>
    <m/>
    <m/>
    <m/>
    <m/>
    <m/>
    <m/>
  </r>
  <r>
    <n v="118"/>
    <m/>
    <m/>
    <m/>
    <m/>
    <x v="4"/>
    <m/>
    <m/>
    <m/>
    <m/>
    <m/>
    <m/>
  </r>
  <r>
    <n v="119"/>
    <m/>
    <m/>
    <m/>
    <m/>
    <x v="4"/>
    <m/>
    <m/>
    <m/>
    <m/>
    <m/>
    <m/>
  </r>
  <r>
    <n v="120"/>
    <m/>
    <m/>
    <m/>
    <m/>
    <x v="4"/>
    <m/>
    <m/>
    <m/>
    <m/>
    <m/>
    <m/>
  </r>
  <r>
    <n v="121"/>
    <m/>
    <m/>
    <m/>
    <m/>
    <x v="4"/>
    <m/>
    <m/>
    <m/>
    <m/>
    <m/>
    <m/>
  </r>
  <r>
    <n v="122"/>
    <m/>
    <m/>
    <m/>
    <m/>
    <x v="4"/>
    <m/>
    <m/>
    <m/>
    <m/>
    <m/>
    <m/>
  </r>
  <r>
    <n v="123"/>
    <m/>
    <m/>
    <m/>
    <m/>
    <x v="4"/>
    <m/>
    <m/>
    <m/>
    <m/>
    <m/>
    <m/>
  </r>
  <r>
    <n v="124"/>
    <m/>
    <m/>
    <m/>
    <m/>
    <x v="4"/>
    <m/>
    <m/>
    <m/>
    <m/>
    <m/>
    <m/>
  </r>
  <r>
    <n v="125"/>
    <m/>
    <m/>
    <m/>
    <m/>
    <x v="4"/>
    <m/>
    <m/>
    <m/>
    <m/>
    <m/>
    <m/>
  </r>
  <r>
    <n v="126"/>
    <m/>
    <m/>
    <m/>
    <m/>
    <x v="4"/>
    <m/>
    <m/>
    <m/>
    <m/>
    <m/>
    <m/>
  </r>
  <r>
    <n v="127"/>
    <m/>
    <m/>
    <m/>
    <m/>
    <x v="4"/>
    <m/>
    <m/>
    <m/>
    <m/>
    <m/>
    <m/>
  </r>
  <r>
    <n v="128"/>
    <m/>
    <m/>
    <m/>
    <m/>
    <x v="4"/>
    <m/>
    <m/>
    <m/>
    <m/>
    <m/>
    <m/>
  </r>
  <r>
    <n v="129"/>
    <m/>
    <m/>
    <m/>
    <m/>
    <x v="4"/>
    <m/>
    <m/>
    <m/>
    <m/>
    <m/>
    <m/>
  </r>
  <r>
    <n v="130"/>
    <m/>
    <m/>
    <m/>
    <m/>
    <x v="4"/>
    <m/>
    <m/>
    <m/>
    <m/>
    <m/>
    <m/>
  </r>
  <r>
    <n v="131"/>
    <m/>
    <m/>
    <m/>
    <m/>
    <x v="4"/>
    <m/>
    <m/>
    <m/>
    <m/>
    <m/>
    <m/>
  </r>
  <r>
    <n v="132"/>
    <m/>
    <m/>
    <m/>
    <m/>
    <x v="4"/>
    <m/>
    <m/>
    <m/>
    <m/>
    <m/>
    <m/>
  </r>
  <r>
    <n v="133"/>
    <m/>
    <m/>
    <m/>
    <m/>
    <x v="4"/>
    <m/>
    <m/>
    <m/>
    <m/>
    <m/>
    <m/>
  </r>
  <r>
    <n v="134"/>
    <m/>
    <m/>
    <m/>
    <m/>
    <x v="4"/>
    <m/>
    <m/>
    <m/>
    <m/>
    <m/>
    <m/>
  </r>
  <r>
    <n v="135"/>
    <m/>
    <m/>
    <m/>
    <m/>
    <x v="4"/>
    <m/>
    <m/>
    <m/>
    <m/>
    <m/>
    <m/>
  </r>
  <r>
    <n v="136"/>
    <m/>
    <m/>
    <m/>
    <m/>
    <x v="4"/>
    <m/>
    <m/>
    <m/>
    <m/>
    <m/>
    <m/>
  </r>
  <r>
    <n v="137"/>
    <m/>
    <m/>
    <m/>
    <m/>
    <x v="4"/>
    <m/>
    <m/>
    <m/>
    <m/>
    <m/>
    <m/>
  </r>
  <r>
    <n v="138"/>
    <m/>
    <m/>
    <m/>
    <m/>
    <x v="4"/>
    <m/>
    <m/>
    <m/>
    <m/>
    <m/>
    <m/>
  </r>
  <r>
    <n v="139"/>
    <m/>
    <m/>
    <m/>
    <m/>
    <x v="4"/>
    <m/>
    <m/>
    <m/>
    <m/>
    <m/>
    <m/>
  </r>
  <r>
    <n v="140"/>
    <m/>
    <m/>
    <m/>
    <m/>
    <x v="4"/>
    <m/>
    <m/>
    <m/>
    <m/>
    <m/>
    <m/>
  </r>
  <r>
    <n v="141"/>
    <m/>
    <m/>
    <m/>
    <m/>
    <x v="4"/>
    <m/>
    <m/>
    <m/>
    <m/>
    <m/>
    <m/>
  </r>
  <r>
    <n v="142"/>
    <m/>
    <m/>
    <m/>
    <m/>
    <x v="4"/>
    <m/>
    <m/>
    <m/>
    <m/>
    <m/>
    <m/>
  </r>
  <r>
    <n v="143"/>
    <m/>
    <m/>
    <m/>
    <m/>
    <x v="4"/>
    <m/>
    <m/>
    <m/>
    <m/>
    <m/>
    <m/>
  </r>
  <r>
    <n v="144"/>
    <m/>
    <m/>
    <m/>
    <m/>
    <x v="4"/>
    <m/>
    <m/>
    <m/>
    <m/>
    <m/>
    <m/>
  </r>
  <r>
    <n v="145"/>
    <m/>
    <m/>
    <m/>
    <m/>
    <x v="4"/>
    <m/>
    <m/>
    <m/>
    <m/>
    <m/>
    <m/>
  </r>
  <r>
    <n v="146"/>
    <m/>
    <m/>
    <m/>
    <m/>
    <x v="4"/>
    <m/>
    <m/>
    <m/>
    <m/>
    <m/>
    <m/>
  </r>
  <r>
    <n v="147"/>
    <m/>
    <m/>
    <m/>
    <m/>
    <x v="4"/>
    <m/>
    <m/>
    <m/>
    <m/>
    <m/>
    <m/>
  </r>
  <r>
    <n v="148"/>
    <m/>
    <m/>
    <m/>
    <m/>
    <x v="4"/>
    <m/>
    <m/>
    <m/>
    <m/>
    <m/>
    <m/>
  </r>
  <r>
    <n v="149"/>
    <m/>
    <m/>
    <m/>
    <m/>
    <x v="4"/>
    <m/>
    <m/>
    <m/>
    <m/>
    <m/>
    <m/>
  </r>
  <r>
    <n v="150"/>
    <m/>
    <m/>
    <m/>
    <m/>
    <x v="4"/>
    <m/>
    <m/>
    <m/>
    <m/>
    <m/>
    <m/>
  </r>
  <r>
    <n v="151"/>
    <m/>
    <m/>
    <m/>
    <m/>
    <x v="4"/>
    <m/>
    <m/>
    <m/>
    <m/>
    <m/>
    <m/>
  </r>
  <r>
    <n v="152"/>
    <m/>
    <m/>
    <m/>
    <m/>
    <x v="4"/>
    <m/>
    <m/>
    <m/>
    <m/>
    <m/>
    <m/>
  </r>
  <r>
    <n v="153"/>
    <m/>
    <m/>
    <m/>
    <m/>
    <x v="4"/>
    <m/>
    <m/>
    <m/>
    <m/>
    <m/>
    <m/>
  </r>
  <r>
    <n v="154"/>
    <m/>
    <m/>
    <m/>
    <m/>
    <x v="4"/>
    <m/>
    <m/>
    <m/>
    <m/>
    <m/>
    <m/>
  </r>
  <r>
    <n v="155"/>
    <m/>
    <m/>
    <m/>
    <m/>
    <x v="4"/>
    <m/>
    <m/>
    <m/>
    <m/>
    <m/>
    <m/>
  </r>
  <r>
    <n v="156"/>
    <m/>
    <m/>
    <m/>
    <m/>
    <x v="4"/>
    <m/>
    <m/>
    <m/>
    <m/>
    <m/>
    <m/>
  </r>
  <r>
    <n v="157"/>
    <m/>
    <m/>
    <m/>
    <m/>
    <x v="4"/>
    <m/>
    <m/>
    <m/>
    <m/>
    <m/>
    <m/>
  </r>
  <r>
    <n v="158"/>
    <m/>
    <m/>
    <m/>
    <m/>
    <x v="4"/>
    <m/>
    <m/>
    <m/>
    <m/>
    <m/>
    <m/>
  </r>
  <r>
    <n v="159"/>
    <m/>
    <m/>
    <m/>
    <m/>
    <x v="4"/>
    <m/>
    <m/>
    <m/>
    <m/>
    <m/>
    <m/>
  </r>
  <r>
    <n v="160"/>
    <m/>
    <m/>
    <m/>
    <m/>
    <x v="4"/>
    <m/>
    <m/>
    <m/>
    <m/>
    <m/>
    <m/>
  </r>
  <r>
    <n v="161"/>
    <m/>
    <m/>
    <m/>
    <m/>
    <x v="4"/>
    <m/>
    <m/>
    <m/>
    <m/>
    <m/>
    <m/>
  </r>
  <r>
    <n v="162"/>
    <m/>
    <m/>
    <m/>
    <m/>
    <x v="4"/>
    <m/>
    <m/>
    <m/>
    <m/>
    <m/>
    <m/>
  </r>
  <r>
    <n v="163"/>
    <m/>
    <m/>
    <m/>
    <m/>
    <x v="4"/>
    <m/>
    <m/>
    <m/>
    <m/>
    <m/>
    <m/>
  </r>
  <r>
    <n v="164"/>
    <m/>
    <m/>
    <m/>
    <m/>
    <x v="4"/>
    <m/>
    <m/>
    <m/>
    <m/>
    <m/>
    <m/>
  </r>
  <r>
    <n v="165"/>
    <m/>
    <m/>
    <m/>
    <m/>
    <x v="4"/>
    <m/>
    <m/>
    <m/>
    <m/>
    <m/>
    <m/>
  </r>
  <r>
    <n v="166"/>
    <m/>
    <m/>
    <m/>
    <m/>
    <x v="4"/>
    <m/>
    <m/>
    <m/>
    <m/>
    <m/>
    <m/>
  </r>
  <r>
    <n v="167"/>
    <m/>
    <m/>
    <m/>
    <m/>
    <x v="4"/>
    <m/>
    <m/>
    <m/>
    <m/>
    <m/>
    <m/>
  </r>
  <r>
    <n v="168"/>
    <m/>
    <m/>
    <m/>
    <m/>
    <x v="4"/>
    <m/>
    <m/>
    <m/>
    <m/>
    <m/>
    <m/>
  </r>
  <r>
    <n v="169"/>
    <m/>
    <m/>
    <m/>
    <m/>
    <x v="4"/>
    <m/>
    <m/>
    <m/>
    <m/>
    <m/>
    <m/>
  </r>
  <r>
    <n v="170"/>
    <m/>
    <m/>
    <m/>
    <m/>
    <x v="4"/>
    <m/>
    <m/>
    <m/>
    <m/>
    <m/>
    <m/>
  </r>
  <r>
    <n v="171"/>
    <m/>
    <m/>
    <m/>
    <m/>
    <x v="4"/>
    <m/>
    <m/>
    <m/>
    <m/>
    <m/>
    <m/>
  </r>
  <r>
    <n v="172"/>
    <m/>
    <m/>
    <m/>
    <m/>
    <x v="4"/>
    <m/>
    <m/>
    <m/>
    <m/>
    <m/>
    <m/>
  </r>
  <r>
    <n v="173"/>
    <m/>
    <m/>
    <m/>
    <m/>
    <x v="4"/>
    <m/>
    <m/>
    <m/>
    <m/>
    <m/>
    <m/>
  </r>
  <r>
    <n v="174"/>
    <m/>
    <m/>
    <m/>
    <m/>
    <x v="4"/>
    <m/>
    <m/>
    <m/>
    <m/>
    <m/>
    <m/>
  </r>
  <r>
    <n v="175"/>
    <m/>
    <m/>
    <m/>
    <m/>
    <x v="4"/>
    <m/>
    <m/>
    <m/>
    <m/>
    <m/>
    <m/>
  </r>
  <r>
    <n v="176"/>
    <m/>
    <m/>
    <m/>
    <m/>
    <x v="4"/>
    <m/>
    <m/>
    <m/>
    <m/>
    <m/>
    <m/>
  </r>
  <r>
    <n v="177"/>
    <m/>
    <m/>
    <m/>
    <m/>
    <x v="4"/>
    <m/>
    <m/>
    <m/>
    <m/>
    <m/>
    <m/>
  </r>
  <r>
    <n v="178"/>
    <m/>
    <m/>
    <m/>
    <m/>
    <x v="4"/>
    <m/>
    <m/>
    <m/>
    <m/>
    <m/>
    <m/>
  </r>
  <r>
    <n v="179"/>
    <m/>
    <m/>
    <m/>
    <m/>
    <x v="4"/>
    <m/>
    <m/>
    <m/>
    <m/>
    <m/>
    <m/>
  </r>
  <r>
    <n v="180"/>
    <m/>
    <m/>
    <m/>
    <m/>
    <x v="4"/>
    <m/>
    <m/>
    <m/>
    <m/>
    <m/>
    <m/>
  </r>
  <r>
    <n v="181"/>
    <m/>
    <m/>
    <m/>
    <m/>
    <x v="4"/>
    <m/>
    <m/>
    <m/>
    <m/>
    <m/>
    <m/>
  </r>
  <r>
    <n v="182"/>
    <m/>
    <m/>
    <m/>
    <m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d v="2024-05-14T00:00:00"/>
    <s v="Garments"/>
    <x v="0"/>
    <s v="9123632189 ,8910547566"/>
    <x v="0"/>
    <n v="14800"/>
  </r>
  <r>
    <n v="2"/>
    <d v="2024-05-14T00:00:00"/>
    <s v="Tramsport"/>
    <x v="1"/>
    <s v="NA"/>
    <x v="1"/>
    <n v="60"/>
  </r>
  <r>
    <n v="3"/>
    <d v="2024-05-21T00:00:00"/>
    <s v="Garments"/>
    <x v="2"/>
    <n v="7029968104"/>
    <x v="0"/>
    <n v="26355"/>
  </r>
  <r>
    <n v="4"/>
    <d v="2024-05-21T00:00:00"/>
    <s v="Tramsport"/>
    <x v="1"/>
    <s v="NA"/>
    <x v="1"/>
    <n v="130"/>
  </r>
  <r>
    <n v="5"/>
    <d v="2024-05-23T00:00:00"/>
    <s v="Ring Light"/>
    <x v="3"/>
    <s v="NA"/>
    <x v="2"/>
    <n v="2850"/>
  </r>
  <r>
    <n v="6"/>
    <d v="2024-05-23T00:00:00"/>
    <s v="Tramsport"/>
    <x v="1"/>
    <s v="NA"/>
    <x v="1"/>
    <n v="128"/>
  </r>
  <r>
    <n v="7"/>
    <d v="2024-05-23T00:00:00"/>
    <s v="Packing meterials + sticker"/>
    <x v="4"/>
    <s v="8296100622, 7278523077"/>
    <x v="2"/>
    <n v="770"/>
  </r>
  <r>
    <n v="8"/>
    <d v="2024-05-26T00:00:00"/>
    <s v="1st live payment"/>
    <x v="5"/>
    <s v="NA"/>
    <x v="3"/>
    <n v="201"/>
  </r>
  <r>
    <n v="9"/>
    <d v="2024-06-13T00:00:00"/>
    <s v="Garments"/>
    <x v="6"/>
    <s v="9674577149, 7439467048"/>
    <x v="0"/>
    <n v="8095"/>
  </r>
  <r>
    <n v="10"/>
    <d v="2024-06-13T00:00:00"/>
    <s v="Tramsport"/>
    <x v="1"/>
    <s v="NA"/>
    <x v="1"/>
    <n v="80"/>
  </r>
  <r>
    <n v="11"/>
    <d v="2024-06-14T00:00:00"/>
    <s v="Shapoorji Exhibition rent"/>
    <x v="7"/>
    <s v="NA"/>
    <x v="3"/>
    <n v="2500"/>
  </r>
  <r>
    <n v="12"/>
    <d v="2024-06-16T00:00:00"/>
    <s v="Garments"/>
    <x v="0"/>
    <s v="9123632189 ,8910547566"/>
    <x v="0"/>
    <n v="1265"/>
  </r>
  <r>
    <n v="13"/>
    <d v="2024-06-16T00:00:00"/>
    <s v="Tramsport"/>
    <x v="1"/>
    <s v="NA"/>
    <x v="1"/>
    <n v="60"/>
  </r>
  <r>
    <n v="14"/>
    <d v="2024-06-17T00:00:00"/>
    <s v="Garments"/>
    <x v="6"/>
    <s v="NA"/>
    <x v="0"/>
    <n v="11750"/>
  </r>
  <r>
    <n v="15"/>
    <d v="2024-06-17T00:00:00"/>
    <s v="Tramsport"/>
    <x v="1"/>
    <s v="NA"/>
    <x v="1"/>
    <n v="80"/>
  </r>
  <r>
    <n v="16"/>
    <d v="2024-06-18T00:00:00"/>
    <s v="Exhibition item"/>
    <x v="8"/>
    <s v="NA"/>
    <x v="2"/>
    <n v="310"/>
  </r>
  <r>
    <n v="17"/>
    <d v="2024-06-20T00:00:00"/>
    <s v="Shapoorji Exhibition day1"/>
    <x v="1"/>
    <s v="NA"/>
    <x v="1"/>
    <n v="739"/>
  </r>
  <r>
    <n v="18"/>
    <d v="2024-06-21T00:00:00"/>
    <s v="Shapoorji Exhibition day2"/>
    <x v="1"/>
    <s v="NA"/>
    <x v="1"/>
    <n v="160"/>
  </r>
  <r>
    <n v="19"/>
    <d v="2024-06-22T00:00:00"/>
    <s v="Shapoorji Exhibition day3"/>
    <x v="1"/>
    <s v="NA"/>
    <x v="1"/>
    <n v="190"/>
  </r>
  <r>
    <n v="20"/>
    <d v="2024-06-23T00:00:00"/>
    <s v="Shapoorji Exhibition day4"/>
    <x v="1"/>
    <s v="NA"/>
    <x v="1"/>
    <n v="567"/>
  </r>
  <r>
    <n v="21"/>
    <d v="2024-06-25T00:00:00"/>
    <s v="Laketown Exhib rent Adv (6th sep-8th sep)"/>
    <x v="9"/>
    <n v="9051860399"/>
    <x v="3"/>
    <n v="1000"/>
  </r>
  <r>
    <n v="22"/>
    <d v="2024-06-27T00:00:00"/>
    <s v="Company Visiting Card(100)"/>
    <x v="10"/>
    <n v="9830067722"/>
    <x v="2"/>
    <n v="250"/>
  </r>
  <r>
    <n v="23"/>
    <d v="2024-06-27T00:00:00"/>
    <s v="Exhibition item"/>
    <x v="8"/>
    <s v="NA"/>
    <x v="2"/>
    <n v="150"/>
  </r>
  <r>
    <n v="24"/>
    <d v="2024-06-27T00:00:00"/>
    <s v="Tramsport"/>
    <x v="1"/>
    <s v="NA"/>
    <x v="1"/>
    <n v="55"/>
  </r>
  <r>
    <n v="25"/>
    <d v="2024-07-03T00:00:00"/>
    <s v="Agamani 2 Indira MoidanAdv (10th Aug- 11th Aug)"/>
    <x v="11"/>
    <n v="8420846124"/>
    <x v="3"/>
    <n v="1750"/>
  </r>
  <r>
    <n v="26"/>
    <d v="2024-07-03T00:00:00"/>
    <s v="Danlop, Bonhoogly Exhib Adv (12th Jul - 14th Jul)"/>
    <x v="12"/>
    <n v="7980278100"/>
    <x v="3"/>
    <n v="750"/>
  </r>
  <r>
    <n v="27"/>
    <d v="2024-07-08T00:00:00"/>
    <s v="Garments"/>
    <x v="13"/>
    <s v="9007839660, 9674288512"/>
    <x v="0"/>
    <n v="4670"/>
  </r>
  <r>
    <n v="28"/>
    <d v="2024-07-08T00:00:00"/>
    <s v="Tramsport"/>
    <x v="1"/>
    <s v="NA"/>
    <x v="1"/>
    <n v="142"/>
  </r>
  <r>
    <m/>
    <m/>
    <m/>
    <x v="14"/>
    <m/>
    <x v="4"/>
    <m/>
  </r>
  <r>
    <m/>
    <m/>
    <m/>
    <x v="14"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F0003-23B0-C044-93BE-E9BC4366829F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uy 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72E80-1238-D540-A6D8-240F74C97AC4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 rowPageCount="1" colPageCount="1"/>
  <pivotFields count="7">
    <pivotField showAll="0"/>
    <pivotField showAll="0"/>
    <pivotField showAll="0"/>
    <pivotField axis="axisRow" showAll="0">
      <items count="16">
        <item x="9"/>
        <item x="3"/>
        <item x="12"/>
        <item x="8"/>
        <item x="2"/>
        <item x="1"/>
        <item x="10"/>
        <item x="5"/>
        <item x="6"/>
        <item x="13"/>
        <item x="0"/>
        <item x="4"/>
        <item x="7"/>
        <item x="11"/>
        <item x="14"/>
        <item t="default"/>
      </items>
    </pivotField>
    <pivotField showAll="0"/>
    <pivotField axis="axisPage" multipleItemSelectionAllowed="1" showAll="0">
      <items count="6">
        <item x="0"/>
        <item h="1" x="2"/>
        <item h="1" x="3"/>
        <item h="1" x="1"/>
        <item h="1" x="4"/>
        <item t="default"/>
      </items>
    </pivotField>
    <pivotField dataField="1" showAll="0"/>
  </pivotFields>
  <rowFields count="1">
    <field x="3"/>
  </rowFields>
  <rowItems count="5">
    <i>
      <x v="4"/>
    </i>
    <i>
      <x v="8"/>
    </i>
    <i>
      <x v="9"/>
    </i>
    <i>
      <x v="10"/>
    </i>
    <i t="grand">
      <x/>
    </i>
  </rowItems>
  <colItems count="1">
    <i/>
  </colItems>
  <pageFields count="1">
    <pageField fld="5" hier="-1"/>
  </pageFields>
  <dataFields count="1">
    <dataField name="Sum of Cos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06143-B246-014C-B7BC-108A999ACD4F}" name="Table2" displayName="Table2" ref="A1:G78" totalsRowShown="0">
  <autoFilter ref="A1:G78" xr:uid="{F6006143-B246-014C-B7BC-108A999ACD4F}"/>
  <tableColumns count="7">
    <tableColumn id="1" xr3:uid="{F93E334D-1549-B143-8EAB-9C9F1C034F7B}" name="Sr"/>
    <tableColumn id="2" xr3:uid="{3BB48DA7-5D3A-8D47-B3D0-3C909A28DFD7}" name="Date" dataDxfId="26"/>
    <tableColumn id="3" xr3:uid="{0FC772FB-B0D7-5C4B-AC28-3D5C8C174728}" name="Item"/>
    <tableColumn id="4" xr3:uid="{2C983551-C654-C24F-AB1F-D59B5B7BC43B}" name="Shop Name"/>
    <tableColumn id="5" xr3:uid="{7B2A339C-826B-4D4A-8991-04A77FA03AEB}" name="Contact"/>
    <tableColumn id="6" xr3:uid="{3AC2172D-07D0-C14C-819C-86543617A5D6}" name="Expense Type"/>
    <tableColumn id="7" xr3:uid="{8BBF83DB-9240-7945-9123-F73238A6B2B9}" name="Cost" dataDxfId="2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484266-A97C-A04A-BF93-98C6AFAF7458}" name="Table3" displayName="Table3" ref="A1:M777" totalsRowShown="0" headerRowDxfId="24" dataDxfId="22" headerRowBorderDxfId="23" tableBorderDxfId="21" totalsRowBorderDxfId="20">
  <autoFilter ref="A1:M777" xr:uid="{1B484266-A97C-A04A-BF93-98C6AFAF7458}"/>
  <sortState xmlns:xlrd2="http://schemas.microsoft.com/office/spreadsheetml/2017/richdata2" ref="A114:L114">
    <sortCondition ref="L1:L332"/>
  </sortState>
  <tableColumns count="13">
    <tableColumn id="1" xr3:uid="{B350D2A3-C293-4C4B-B2F6-AB551A48696B}" name="Sr" dataDxfId="19"/>
    <tableColumn id="2" xr3:uid="{69EC18C7-663B-3A4D-8E70-9CCB5636F44A}" name="Bill No." dataDxfId="18"/>
    <tableColumn id="3" xr3:uid="{4C6BF2C7-729E-7B4D-9D4A-969C88CAEF77}" name="Type" dataDxfId="17"/>
    <tableColumn id="4" xr3:uid="{AB83B21E-AB1E-6443-BA7D-239786AD2E41}" name="Item Description" dataDxfId="16"/>
    <tableColumn id="5" xr3:uid="{05DD0EEA-3D6A-604E-BA37-E46327501E7D}" name="Material" dataDxfId="15"/>
    <tableColumn id="6" xr3:uid="{ACA0F757-7E96-6F4D-84B6-C5E94F4719CF}" name="Shop Name" dataDxfId="14"/>
    <tableColumn id="7" xr3:uid="{9A49526E-F484-FC46-B1CA-AB3A42B6D609}" name="Avl Size" dataDxfId="13"/>
    <tableColumn id="8" xr3:uid="{0242ACB1-72A3-6448-A038-A214615416D6}" name="Buy Price" dataDxfId="12"/>
    <tableColumn id="9" xr3:uid="{EAE52A45-8BE1-3742-B210-9628A088A619}" name="Price Tag" dataDxfId="11"/>
    <tableColumn id="10" xr3:uid="{C0A2A59C-786E-3B44-B66F-7DDEECABDEE6}" name="Sold" dataDxfId="10"/>
    <tableColumn id="11" xr3:uid="{14835574-EDAC-9245-8E2C-25A466E07266}" name="Sold Price" dataDxfId="9"/>
    <tableColumn id="12" xr3:uid="{4BC7E78F-41AD-2C48-AC90-733C929FC2D9}" name="Sold To" dataDxfId="8"/>
    <tableColumn id="14" xr3:uid="{53A87133-176C-0749-82B0-DFA7015C2B88}" name="Column1" dataDxfId="0">
      <calculatedColumnFormula>VLOOKUP(Table3[[#This Row],[Shop Name]],seller!A:A,1,0)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7AE9-E10C-5C40-94B0-A7BA58ADFA1E}">
  <dimension ref="A1:H17"/>
  <sheetViews>
    <sheetView zoomScale="130" zoomScaleNormal="130" workbookViewId="0">
      <selection activeCell="D14" sqref="D14"/>
    </sheetView>
  </sheetViews>
  <sheetFormatPr baseColWidth="10" defaultColWidth="10.6640625" defaultRowHeight="16" x14ac:dyDescent="0.2"/>
  <cols>
    <col min="1" max="1" width="17.33203125" bestFit="1" customWidth="1"/>
    <col min="2" max="2" width="11.83203125" bestFit="1" customWidth="1"/>
    <col min="4" max="4" width="12.83203125" bestFit="1" customWidth="1"/>
    <col min="5" max="5" width="11.5" bestFit="1" customWidth="1"/>
    <col min="7" max="7" width="13.5" bestFit="1" customWidth="1"/>
    <col min="8" max="8" width="11.5" bestFit="1" customWidth="1"/>
  </cols>
  <sheetData>
    <row r="1" spans="1:8" x14ac:dyDescent="0.2">
      <c r="A1" s="25" t="s">
        <v>128</v>
      </c>
      <c r="B1" s="26">
        <f>COUNT(inventory!H2:H10735)</f>
        <v>714</v>
      </c>
      <c r="D1" s="68" t="s">
        <v>229</v>
      </c>
      <c r="E1" s="69"/>
      <c r="G1" s="68" t="s">
        <v>230</v>
      </c>
      <c r="H1" s="69"/>
    </row>
    <row r="2" spans="1:8" x14ac:dyDescent="0.2">
      <c r="A2" s="27" t="s">
        <v>129</v>
      </c>
      <c r="B2" s="28">
        <f>COUNTIF(inventory!J2:J1735,"Y")</f>
        <v>406</v>
      </c>
      <c r="D2" s="1" t="s">
        <v>227</v>
      </c>
      <c r="E2" s="7">
        <f>SUMIF(inventory!J:J,"Y",inventory!H:H)</f>
        <v>248101</v>
      </c>
      <c r="F2" s="11"/>
      <c r="G2" s="1" t="s">
        <v>227</v>
      </c>
      <c r="H2" s="7">
        <f>SUMIF(inventory!J:J,"Y",inventory!H:H)</f>
        <v>248101</v>
      </c>
    </row>
    <row r="3" spans="1:8" x14ac:dyDescent="0.2">
      <c r="A3" s="27" t="s">
        <v>219</v>
      </c>
      <c r="B3" s="28">
        <f>B1-B2</f>
        <v>308</v>
      </c>
      <c r="D3" s="1" t="s">
        <v>224</v>
      </c>
      <c r="E3" s="7">
        <f>B9+B10</f>
        <v>98890</v>
      </c>
      <c r="G3" s="1" t="s">
        <v>228</v>
      </c>
      <c r="H3" s="7">
        <f>SUMIF(inventory!J:J,"Y",inventory!K:K)</f>
        <v>333353</v>
      </c>
    </row>
    <row r="4" spans="1:8" ht="17" thickBot="1" x14ac:dyDescent="0.25">
      <c r="A4" s="29" t="s">
        <v>161</v>
      </c>
      <c r="B4" s="30">
        <f>SUM(inventory!H2:H1736)</f>
        <v>422546</v>
      </c>
      <c r="D4" s="1" t="s">
        <v>225</v>
      </c>
      <c r="E4" s="7">
        <f>E2+E3</f>
        <v>346991</v>
      </c>
      <c r="G4" s="1" t="s">
        <v>226</v>
      </c>
      <c r="H4" s="31">
        <f>H3-H2</f>
        <v>85252</v>
      </c>
    </row>
    <row r="5" spans="1:8" x14ac:dyDescent="0.2">
      <c r="D5" s="1" t="s">
        <v>228</v>
      </c>
      <c r="E5" s="7">
        <f>SUMIF(inventory!J:J,"Y",inventory!K:K)</f>
        <v>333353</v>
      </c>
      <c r="G5" s="1" t="s">
        <v>220</v>
      </c>
      <c r="H5" s="32">
        <f>H4/H2</f>
        <v>0.34361812326431573</v>
      </c>
    </row>
    <row r="6" spans="1:8" x14ac:dyDescent="0.2">
      <c r="A6" s="12" t="s">
        <v>134</v>
      </c>
      <c r="B6" s="12" t="s">
        <v>133</v>
      </c>
      <c r="D6" s="1" t="s">
        <v>226</v>
      </c>
      <c r="E6" s="31">
        <f>E5-E4</f>
        <v>-13638</v>
      </c>
    </row>
    <row r="7" spans="1:8" x14ac:dyDescent="0.2">
      <c r="A7" s="1" t="s">
        <v>135</v>
      </c>
      <c r="B7" s="7">
        <f>SUMIF(Table2[Expense Type],summary!A7,Table2[Cost])</f>
        <v>422546</v>
      </c>
      <c r="C7" s="31">
        <f>B7-B4</f>
        <v>0</v>
      </c>
      <c r="D7" s="1" t="s">
        <v>220</v>
      </c>
      <c r="E7" s="32">
        <f>E6/E4</f>
        <v>-3.9303613062010252E-2</v>
      </c>
    </row>
    <row r="8" spans="1:8" x14ac:dyDescent="0.2">
      <c r="A8" s="1" t="s">
        <v>159</v>
      </c>
      <c r="B8" s="7">
        <f>SUMIF(Table2[Expense Type],summary!A8,Table2[Cost])</f>
        <v>0</v>
      </c>
    </row>
    <row r="9" spans="1:8" x14ac:dyDescent="0.2">
      <c r="A9" s="1" t="s">
        <v>157</v>
      </c>
      <c r="B9" s="7">
        <f>SUMIF(Table2[Expense Type],summary!A9,Table2[Cost])</f>
        <v>10045</v>
      </c>
    </row>
    <row r="10" spans="1:8" x14ac:dyDescent="0.2">
      <c r="A10" s="1" t="s">
        <v>160</v>
      </c>
      <c r="B10" s="7">
        <f>SUMIF(Table2[Expense Type],summary!A10,Table2[Cost])</f>
        <v>88845</v>
      </c>
    </row>
    <row r="11" spans="1:8" x14ac:dyDescent="0.2">
      <c r="A11" s="1" t="s">
        <v>162</v>
      </c>
      <c r="B11" s="13">
        <f>SUM(B7+B9+B10)</f>
        <v>521436</v>
      </c>
    </row>
    <row r="13" spans="1:8" x14ac:dyDescent="0.2">
      <c r="A13" s="1" t="s">
        <v>221</v>
      </c>
      <c r="B13" s="7">
        <v>100000</v>
      </c>
    </row>
    <row r="14" spans="1:8" x14ac:dyDescent="0.2">
      <c r="A14" s="1" t="s">
        <v>222</v>
      </c>
      <c r="B14" s="7">
        <v>100000</v>
      </c>
    </row>
    <row r="15" spans="1:8" x14ac:dyDescent="0.2">
      <c r="A15" s="1" t="s">
        <v>223</v>
      </c>
      <c r="B15" s="7">
        <f>B13+B14</f>
        <v>200000</v>
      </c>
    </row>
    <row r="16" spans="1:8" x14ac:dyDescent="0.2">
      <c r="A16" s="1" t="s">
        <v>231</v>
      </c>
      <c r="B16" s="13">
        <f>B15-B11+E5</f>
        <v>11917</v>
      </c>
      <c r="C16" s="61">
        <v>84143</v>
      </c>
    </row>
    <row r="17" spans="2:3" x14ac:dyDescent="0.2">
      <c r="B17" s="48"/>
      <c r="C17" s="55"/>
    </row>
  </sheetData>
  <mergeCells count="2">
    <mergeCell ref="D1:E1"/>
    <mergeCell ref="G1:H1"/>
  </mergeCells>
  <conditionalFormatting sqref="C7">
    <cfRule type="cellIs" dxfId="7" priority="1" operator="equal">
      <formula>0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conditionalFormatting sqref="E6:E7">
    <cfRule type="cellIs" dxfId="4" priority="6" operator="greaterThan">
      <formula>0</formula>
    </cfRule>
    <cfRule type="cellIs" dxfId="3" priority="7" operator="lessThan">
      <formula>0</formula>
    </cfRule>
  </conditionalFormatting>
  <conditionalFormatting sqref="H4:H5">
    <cfRule type="cellIs" dxfId="2" priority="4" operator="greaterThan">
      <formula>0</formula>
    </cfRule>
    <cfRule type="cellIs" dxfId="1" priority="5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7A93-43B9-2949-BECC-970F05035598}">
  <dimension ref="A1:P78"/>
  <sheetViews>
    <sheetView zoomScale="110" zoomScaleNormal="110" workbookViewId="0">
      <selection activeCell="D49" sqref="D49"/>
    </sheetView>
  </sheetViews>
  <sheetFormatPr baseColWidth="10" defaultColWidth="10.6640625" defaultRowHeight="16" x14ac:dyDescent="0.2"/>
  <cols>
    <col min="1" max="1" width="6.5" customWidth="1"/>
    <col min="2" max="2" width="10.1640625" style="45" bestFit="1" customWidth="1"/>
    <col min="3" max="3" width="45.33203125" bestFit="1" customWidth="1"/>
    <col min="4" max="4" width="24.83203125" bestFit="1" customWidth="1"/>
    <col min="5" max="5" width="22.33203125" bestFit="1" customWidth="1"/>
    <col min="6" max="6" width="14.33203125" customWidth="1"/>
    <col min="7" max="7" width="11.83203125" style="11" bestFit="1" customWidth="1"/>
  </cols>
  <sheetData>
    <row r="1" spans="1:16" x14ac:dyDescent="0.2">
      <c r="A1" t="s">
        <v>26</v>
      </c>
      <c r="B1" s="45" t="s">
        <v>130</v>
      </c>
      <c r="C1" t="s">
        <v>131</v>
      </c>
      <c r="D1" t="s">
        <v>41</v>
      </c>
      <c r="E1" t="s">
        <v>132</v>
      </c>
      <c r="F1" t="s">
        <v>134</v>
      </c>
      <c r="G1" s="11" t="s">
        <v>133</v>
      </c>
      <c r="P1" t="s">
        <v>134</v>
      </c>
    </row>
    <row r="2" spans="1:16" x14ac:dyDescent="0.2">
      <c r="A2">
        <v>1</v>
      </c>
      <c r="B2" s="45">
        <v>45426</v>
      </c>
      <c r="C2" t="s">
        <v>135</v>
      </c>
      <c r="D2" t="s">
        <v>11</v>
      </c>
      <c r="E2" t="s">
        <v>136</v>
      </c>
      <c r="F2" t="s">
        <v>135</v>
      </c>
      <c r="G2" s="11">
        <v>14800</v>
      </c>
      <c r="P2" t="s">
        <v>135</v>
      </c>
    </row>
    <row r="3" spans="1:16" ht="17" x14ac:dyDescent="0.2">
      <c r="A3">
        <v>2</v>
      </c>
      <c r="B3" s="45">
        <v>45433</v>
      </c>
      <c r="C3" t="s">
        <v>135</v>
      </c>
      <c r="D3" s="3" t="s">
        <v>6</v>
      </c>
      <c r="E3">
        <v>7029968104</v>
      </c>
      <c r="F3" t="s">
        <v>135</v>
      </c>
      <c r="G3" s="11">
        <v>26355</v>
      </c>
      <c r="P3" t="s">
        <v>157</v>
      </c>
    </row>
    <row r="4" spans="1:16" x14ac:dyDescent="0.2">
      <c r="A4">
        <v>3</v>
      </c>
      <c r="B4" s="45">
        <v>45435</v>
      </c>
      <c r="C4" t="s">
        <v>137</v>
      </c>
      <c r="D4" t="s">
        <v>138</v>
      </c>
      <c r="E4" t="s">
        <v>158</v>
      </c>
      <c r="F4" t="s">
        <v>157</v>
      </c>
      <c r="G4" s="11">
        <v>2850</v>
      </c>
      <c r="P4" t="s">
        <v>160</v>
      </c>
    </row>
    <row r="5" spans="1:16" x14ac:dyDescent="0.2">
      <c r="A5">
        <v>4</v>
      </c>
      <c r="B5" s="45">
        <v>45435</v>
      </c>
      <c r="C5" t="s">
        <v>139</v>
      </c>
      <c r="D5" t="s">
        <v>140</v>
      </c>
      <c r="E5" t="s">
        <v>141</v>
      </c>
      <c r="F5" t="s">
        <v>157</v>
      </c>
      <c r="G5" s="11">
        <v>770</v>
      </c>
    </row>
    <row r="6" spans="1:16" x14ac:dyDescent="0.2">
      <c r="A6">
        <v>5</v>
      </c>
      <c r="B6" s="46">
        <v>45438</v>
      </c>
      <c r="C6" t="s">
        <v>142</v>
      </c>
      <c r="D6" t="s">
        <v>143</v>
      </c>
      <c r="E6" t="s">
        <v>158</v>
      </c>
      <c r="F6" t="s">
        <v>160</v>
      </c>
      <c r="G6" s="11">
        <v>201</v>
      </c>
    </row>
    <row r="7" spans="1:16" x14ac:dyDescent="0.2">
      <c r="A7">
        <v>6</v>
      </c>
      <c r="B7" s="45">
        <v>45456</v>
      </c>
      <c r="C7" t="s">
        <v>135</v>
      </c>
      <c r="D7" t="s">
        <v>75</v>
      </c>
      <c r="E7" t="s">
        <v>144</v>
      </c>
      <c r="F7" t="s">
        <v>135</v>
      </c>
      <c r="G7" s="11">
        <v>8095</v>
      </c>
    </row>
    <row r="8" spans="1:16" x14ac:dyDescent="0.2">
      <c r="A8">
        <v>7</v>
      </c>
      <c r="B8" s="46">
        <v>45457</v>
      </c>
      <c r="C8" t="s">
        <v>145</v>
      </c>
      <c r="D8" t="s">
        <v>146</v>
      </c>
      <c r="E8" t="s">
        <v>158</v>
      </c>
      <c r="F8" t="s">
        <v>160</v>
      </c>
      <c r="G8" s="11">
        <v>2500</v>
      </c>
    </row>
    <row r="9" spans="1:16" x14ac:dyDescent="0.2">
      <c r="A9">
        <v>8</v>
      </c>
      <c r="B9" s="45">
        <v>45459</v>
      </c>
      <c r="C9" t="s">
        <v>135</v>
      </c>
      <c r="D9" t="s">
        <v>11</v>
      </c>
      <c r="E9" t="s">
        <v>136</v>
      </c>
      <c r="F9" t="s">
        <v>135</v>
      </c>
      <c r="G9" s="11">
        <v>1265</v>
      </c>
    </row>
    <row r="10" spans="1:16" x14ac:dyDescent="0.2">
      <c r="A10">
        <v>9</v>
      </c>
      <c r="B10" s="45">
        <v>45460</v>
      </c>
      <c r="C10" t="s">
        <v>135</v>
      </c>
      <c r="D10" t="s">
        <v>75</v>
      </c>
      <c r="E10" t="s">
        <v>158</v>
      </c>
      <c r="F10" t="s">
        <v>135</v>
      </c>
      <c r="G10" s="11">
        <v>11750</v>
      </c>
    </row>
    <row r="11" spans="1:16" x14ac:dyDescent="0.2">
      <c r="A11">
        <v>10</v>
      </c>
      <c r="B11" s="45">
        <v>45461</v>
      </c>
      <c r="C11" t="s">
        <v>147</v>
      </c>
      <c r="D11" t="s">
        <v>148</v>
      </c>
      <c r="E11" t="s">
        <v>158</v>
      </c>
      <c r="F11" t="s">
        <v>157</v>
      </c>
      <c r="G11" s="11">
        <v>310</v>
      </c>
    </row>
    <row r="12" spans="1:16" s="35" customFormat="1" x14ac:dyDescent="0.2">
      <c r="A12">
        <v>11</v>
      </c>
      <c r="B12" s="46">
        <v>45468</v>
      </c>
      <c r="C12" s="35" t="s">
        <v>460</v>
      </c>
      <c r="D12" s="17" t="s">
        <v>149</v>
      </c>
      <c r="E12" s="35">
        <v>9051860399</v>
      </c>
      <c r="F12" s="35" t="s">
        <v>160</v>
      </c>
      <c r="G12" s="37">
        <v>4000</v>
      </c>
    </row>
    <row r="13" spans="1:16" x14ac:dyDescent="0.2">
      <c r="A13">
        <v>12</v>
      </c>
      <c r="B13" s="45">
        <v>45470</v>
      </c>
      <c r="C13" t="s">
        <v>150</v>
      </c>
      <c r="D13" t="s">
        <v>151</v>
      </c>
      <c r="E13">
        <v>9830067722</v>
      </c>
      <c r="F13" t="s">
        <v>157</v>
      </c>
      <c r="G13" s="11">
        <v>250</v>
      </c>
    </row>
    <row r="14" spans="1:16" x14ac:dyDescent="0.2">
      <c r="A14">
        <v>13</v>
      </c>
      <c r="B14" s="45">
        <v>45470</v>
      </c>
      <c r="C14" t="s">
        <v>147</v>
      </c>
      <c r="D14" t="s">
        <v>152</v>
      </c>
      <c r="E14" t="s">
        <v>158</v>
      </c>
      <c r="F14" t="s">
        <v>157</v>
      </c>
      <c r="G14" s="11">
        <v>150</v>
      </c>
    </row>
    <row r="15" spans="1:16" s="35" customFormat="1" x14ac:dyDescent="0.2">
      <c r="A15">
        <v>14</v>
      </c>
      <c r="B15" s="46">
        <v>45476</v>
      </c>
      <c r="C15" s="35" t="s">
        <v>430</v>
      </c>
      <c r="D15" s="17" t="s">
        <v>153</v>
      </c>
      <c r="E15" s="35">
        <v>8420846124</v>
      </c>
      <c r="F15" s="35" t="s">
        <v>160</v>
      </c>
      <c r="G15" s="37">
        <v>3524</v>
      </c>
    </row>
    <row r="16" spans="1:16" x14ac:dyDescent="0.2">
      <c r="A16">
        <v>15</v>
      </c>
      <c r="B16" s="46">
        <v>45476</v>
      </c>
      <c r="C16" t="s">
        <v>461</v>
      </c>
      <c r="D16" s="17" t="s">
        <v>154</v>
      </c>
      <c r="E16">
        <v>7980278100</v>
      </c>
      <c r="F16" t="s">
        <v>160</v>
      </c>
      <c r="G16" s="11">
        <v>1500</v>
      </c>
    </row>
    <row r="17" spans="1:7" x14ac:dyDescent="0.2">
      <c r="A17">
        <v>16</v>
      </c>
      <c r="B17" s="45">
        <v>45481</v>
      </c>
      <c r="C17" t="s">
        <v>135</v>
      </c>
      <c r="D17" t="s">
        <v>155</v>
      </c>
      <c r="E17" t="s">
        <v>156</v>
      </c>
      <c r="F17" t="s">
        <v>135</v>
      </c>
      <c r="G17" s="11">
        <v>4670</v>
      </c>
    </row>
    <row r="18" spans="1:7" x14ac:dyDescent="0.2">
      <c r="A18">
        <v>17</v>
      </c>
      <c r="B18" s="45">
        <v>45503</v>
      </c>
      <c r="C18" t="s">
        <v>135</v>
      </c>
      <c r="D18" t="s">
        <v>237</v>
      </c>
      <c r="F18" t="s">
        <v>135</v>
      </c>
      <c r="G18" s="11">
        <v>5488</v>
      </c>
    </row>
    <row r="19" spans="1:7" x14ac:dyDescent="0.2">
      <c r="A19">
        <v>18</v>
      </c>
      <c r="B19" s="45">
        <v>45506</v>
      </c>
      <c r="C19" t="s">
        <v>135</v>
      </c>
      <c r="D19" t="s">
        <v>75</v>
      </c>
      <c r="F19" t="s">
        <v>135</v>
      </c>
      <c r="G19" s="11">
        <v>12810</v>
      </c>
    </row>
    <row r="20" spans="1:7" x14ac:dyDescent="0.2">
      <c r="A20">
        <v>19</v>
      </c>
      <c r="B20" s="45">
        <v>45531</v>
      </c>
      <c r="C20" t="s">
        <v>135</v>
      </c>
      <c r="D20" t="s">
        <v>75</v>
      </c>
      <c r="F20" t="s">
        <v>135</v>
      </c>
      <c r="G20" s="11">
        <v>16000</v>
      </c>
    </row>
    <row r="21" spans="1:7" s="35" customFormat="1" x14ac:dyDescent="0.2">
      <c r="A21">
        <v>20</v>
      </c>
      <c r="B21" s="46">
        <v>45538</v>
      </c>
      <c r="C21" s="35" t="s">
        <v>135</v>
      </c>
      <c r="D21" s="17" t="s">
        <v>300</v>
      </c>
      <c r="F21" s="35" t="s">
        <v>135</v>
      </c>
      <c r="G21" s="37">
        <v>9160</v>
      </c>
    </row>
    <row r="22" spans="1:7" x14ac:dyDescent="0.2">
      <c r="A22">
        <v>21</v>
      </c>
      <c r="B22" s="46">
        <v>45538</v>
      </c>
      <c r="C22" s="35" t="s">
        <v>316</v>
      </c>
      <c r="D22" s="17" t="s">
        <v>317</v>
      </c>
      <c r="E22" s="35"/>
      <c r="F22" s="35" t="s">
        <v>157</v>
      </c>
      <c r="G22" s="37">
        <v>1350</v>
      </c>
    </row>
    <row r="23" spans="1:7" x14ac:dyDescent="0.2">
      <c r="A23">
        <v>22</v>
      </c>
      <c r="B23" s="46">
        <v>45538</v>
      </c>
      <c r="C23" s="35" t="s">
        <v>318</v>
      </c>
      <c r="D23" s="17" t="s">
        <v>158</v>
      </c>
      <c r="E23" s="35"/>
      <c r="F23" s="35" t="s">
        <v>157</v>
      </c>
      <c r="G23" s="37">
        <v>320</v>
      </c>
    </row>
    <row r="24" spans="1:7" x14ac:dyDescent="0.2">
      <c r="A24">
        <v>23</v>
      </c>
      <c r="B24" s="46">
        <v>45538</v>
      </c>
      <c r="C24" s="35" t="s">
        <v>319</v>
      </c>
      <c r="D24" s="17" t="s">
        <v>158</v>
      </c>
      <c r="E24" s="35"/>
      <c r="F24" s="35" t="s">
        <v>157</v>
      </c>
      <c r="G24" s="37">
        <v>390</v>
      </c>
    </row>
    <row r="25" spans="1:7" x14ac:dyDescent="0.2">
      <c r="A25">
        <v>24</v>
      </c>
      <c r="B25" s="46">
        <v>45539</v>
      </c>
      <c r="C25" s="35" t="s">
        <v>331</v>
      </c>
      <c r="D25" t="s">
        <v>151</v>
      </c>
      <c r="E25">
        <v>9830067722</v>
      </c>
      <c r="F25" s="35" t="s">
        <v>157</v>
      </c>
      <c r="G25" s="37">
        <v>350</v>
      </c>
    </row>
    <row r="26" spans="1:7" x14ac:dyDescent="0.2">
      <c r="A26">
        <v>25</v>
      </c>
      <c r="B26" s="46">
        <v>45485</v>
      </c>
      <c r="C26" s="35" t="s">
        <v>332</v>
      </c>
      <c r="D26" s="17" t="s">
        <v>158</v>
      </c>
      <c r="E26" s="35"/>
      <c r="F26" s="35" t="s">
        <v>160</v>
      </c>
      <c r="G26" s="37">
        <v>350</v>
      </c>
    </row>
    <row r="27" spans="1:7" x14ac:dyDescent="0.2">
      <c r="A27">
        <v>26</v>
      </c>
      <c r="B27" s="46">
        <v>45545</v>
      </c>
      <c r="C27" s="35" t="s">
        <v>563</v>
      </c>
      <c r="D27" s="17" t="s">
        <v>158</v>
      </c>
      <c r="E27" s="35"/>
      <c r="F27" s="35" t="s">
        <v>160</v>
      </c>
      <c r="G27" s="37">
        <v>2200</v>
      </c>
    </row>
    <row r="28" spans="1:7" x14ac:dyDescent="0.2">
      <c r="A28">
        <v>27</v>
      </c>
      <c r="B28" s="46">
        <v>45546</v>
      </c>
      <c r="C28" s="35" t="s">
        <v>335</v>
      </c>
      <c r="D28" s="17" t="s">
        <v>155</v>
      </c>
      <c r="E28" s="35"/>
      <c r="F28" s="35" t="s">
        <v>135</v>
      </c>
      <c r="G28" s="37">
        <v>4740</v>
      </c>
    </row>
    <row r="29" spans="1:7" x14ac:dyDescent="0.2">
      <c r="A29">
        <v>28</v>
      </c>
      <c r="B29" s="46">
        <v>45548</v>
      </c>
      <c r="C29" s="35" t="s">
        <v>381</v>
      </c>
      <c r="D29" s="17" t="s">
        <v>149</v>
      </c>
      <c r="E29" s="35">
        <v>9051860399</v>
      </c>
      <c r="F29" s="35" t="s">
        <v>160</v>
      </c>
      <c r="G29" s="37">
        <v>4300</v>
      </c>
    </row>
    <row r="30" spans="1:7" x14ac:dyDescent="0.2">
      <c r="A30">
        <v>29</v>
      </c>
      <c r="B30" s="45">
        <v>45553</v>
      </c>
      <c r="C30" t="s">
        <v>135</v>
      </c>
      <c r="D30" t="s">
        <v>75</v>
      </c>
      <c r="F30" t="s">
        <v>135</v>
      </c>
      <c r="G30" s="11">
        <v>16155</v>
      </c>
    </row>
    <row r="31" spans="1:7" x14ac:dyDescent="0.2">
      <c r="A31">
        <v>30</v>
      </c>
      <c r="B31" s="45">
        <v>45608</v>
      </c>
      <c r="C31" t="s">
        <v>382</v>
      </c>
      <c r="D31" t="s">
        <v>158</v>
      </c>
      <c r="F31" t="s">
        <v>157</v>
      </c>
      <c r="G31" s="11">
        <v>150</v>
      </c>
    </row>
    <row r="32" spans="1:7" x14ac:dyDescent="0.2">
      <c r="A32">
        <v>31</v>
      </c>
      <c r="B32" s="45">
        <v>45619</v>
      </c>
      <c r="C32" t="s">
        <v>135</v>
      </c>
      <c r="D32" t="s">
        <v>395</v>
      </c>
      <c r="F32" t="s">
        <v>135</v>
      </c>
      <c r="G32" s="11">
        <v>7550</v>
      </c>
    </row>
    <row r="33" spans="1:7" x14ac:dyDescent="0.2">
      <c r="A33">
        <v>32</v>
      </c>
      <c r="B33" s="45">
        <v>45621</v>
      </c>
      <c r="C33" t="s">
        <v>135</v>
      </c>
      <c r="D33" t="s">
        <v>155</v>
      </c>
      <c r="F33" s="17" t="s">
        <v>135</v>
      </c>
      <c r="G33" s="11">
        <v>5950</v>
      </c>
    </row>
    <row r="34" spans="1:7" x14ac:dyDescent="0.2">
      <c r="A34">
        <v>33</v>
      </c>
      <c r="B34" s="45">
        <v>45623</v>
      </c>
      <c r="C34" t="s">
        <v>135</v>
      </c>
      <c r="D34" t="s">
        <v>75</v>
      </c>
      <c r="F34" t="s">
        <v>135</v>
      </c>
      <c r="G34" s="11">
        <v>11100</v>
      </c>
    </row>
    <row r="35" spans="1:7" x14ac:dyDescent="0.2">
      <c r="A35">
        <v>34</v>
      </c>
      <c r="B35" s="45">
        <v>45638</v>
      </c>
      <c r="C35" t="s">
        <v>424</v>
      </c>
      <c r="D35" t="s">
        <v>423</v>
      </c>
      <c r="E35">
        <v>8337087694</v>
      </c>
      <c r="F35" t="s">
        <v>160</v>
      </c>
      <c r="G35" s="11">
        <v>2000</v>
      </c>
    </row>
    <row r="36" spans="1:7" x14ac:dyDescent="0.2">
      <c r="A36">
        <v>35</v>
      </c>
      <c r="B36" s="45">
        <v>45642</v>
      </c>
      <c r="C36" t="s">
        <v>428</v>
      </c>
      <c r="D36" t="s">
        <v>429</v>
      </c>
      <c r="E36">
        <v>9073106009</v>
      </c>
      <c r="F36" t="s">
        <v>160</v>
      </c>
      <c r="G36" s="11">
        <v>4300</v>
      </c>
    </row>
    <row r="37" spans="1:7" x14ac:dyDescent="0.2">
      <c r="A37">
        <v>36</v>
      </c>
      <c r="B37" s="45">
        <v>45643</v>
      </c>
      <c r="C37" s="35" t="s">
        <v>701</v>
      </c>
      <c r="D37" s="17" t="s">
        <v>149</v>
      </c>
      <c r="E37" s="35">
        <v>9051860399</v>
      </c>
      <c r="F37" s="35" t="s">
        <v>160</v>
      </c>
      <c r="G37" s="37">
        <v>4000</v>
      </c>
    </row>
    <row r="38" spans="1:7" x14ac:dyDescent="0.2">
      <c r="A38">
        <v>37</v>
      </c>
      <c r="B38" s="45">
        <v>45669</v>
      </c>
      <c r="C38" t="s">
        <v>431</v>
      </c>
      <c r="D38" t="s">
        <v>432</v>
      </c>
      <c r="F38" t="s">
        <v>160</v>
      </c>
      <c r="G38" s="11">
        <v>2000</v>
      </c>
    </row>
    <row r="39" spans="1:7" x14ac:dyDescent="0.2">
      <c r="A39">
        <v>38</v>
      </c>
      <c r="B39" s="45">
        <v>45696</v>
      </c>
      <c r="C39" t="s">
        <v>458</v>
      </c>
      <c r="D39" t="s">
        <v>429</v>
      </c>
      <c r="E39">
        <v>9073106009</v>
      </c>
      <c r="F39" t="s">
        <v>160</v>
      </c>
      <c r="G39" s="11">
        <v>1000</v>
      </c>
    </row>
    <row r="40" spans="1:7" x14ac:dyDescent="0.2">
      <c r="A40">
        <v>39</v>
      </c>
      <c r="B40" s="45">
        <v>45733</v>
      </c>
      <c r="C40" t="s">
        <v>135</v>
      </c>
      <c r="D40" t="s">
        <v>155</v>
      </c>
      <c r="F40" t="s">
        <v>135</v>
      </c>
      <c r="G40" s="37">
        <v>5680</v>
      </c>
    </row>
    <row r="41" spans="1:7" x14ac:dyDescent="0.2">
      <c r="A41">
        <v>40</v>
      </c>
      <c r="B41" s="45">
        <v>45695</v>
      </c>
      <c r="C41" t="s">
        <v>459</v>
      </c>
      <c r="D41" t="s">
        <v>158</v>
      </c>
      <c r="F41" t="s">
        <v>157</v>
      </c>
      <c r="G41" s="11">
        <v>350</v>
      </c>
    </row>
    <row r="42" spans="1:7" x14ac:dyDescent="0.2">
      <c r="A42">
        <v>41</v>
      </c>
      <c r="B42" s="45">
        <v>45687</v>
      </c>
      <c r="C42" t="s">
        <v>150</v>
      </c>
      <c r="D42" t="s">
        <v>151</v>
      </c>
      <c r="E42">
        <v>9830067722</v>
      </c>
      <c r="F42" t="s">
        <v>157</v>
      </c>
      <c r="G42" s="11">
        <v>250</v>
      </c>
    </row>
    <row r="43" spans="1:7" x14ac:dyDescent="0.2">
      <c r="A43">
        <v>42</v>
      </c>
      <c r="B43" s="45">
        <v>45731</v>
      </c>
      <c r="C43" t="s">
        <v>462</v>
      </c>
      <c r="D43" t="s">
        <v>160</v>
      </c>
      <c r="E43">
        <v>9123029644</v>
      </c>
      <c r="F43" t="s">
        <v>160</v>
      </c>
      <c r="G43" s="11">
        <v>1890</v>
      </c>
    </row>
    <row r="44" spans="1:7" x14ac:dyDescent="0.2">
      <c r="A44">
        <v>43</v>
      </c>
      <c r="B44" s="45">
        <v>45736</v>
      </c>
      <c r="C44" t="s">
        <v>135</v>
      </c>
      <c r="D44" t="s">
        <v>463</v>
      </c>
      <c r="F44" t="s">
        <v>135</v>
      </c>
      <c r="G44" s="11">
        <v>11640</v>
      </c>
    </row>
    <row r="45" spans="1:7" x14ac:dyDescent="0.2">
      <c r="A45">
        <v>44</v>
      </c>
      <c r="B45" s="45">
        <v>45740</v>
      </c>
      <c r="C45" t="s">
        <v>135</v>
      </c>
      <c r="D45" t="s">
        <v>485</v>
      </c>
      <c r="E45">
        <v>9476263474</v>
      </c>
      <c r="F45" t="s">
        <v>135</v>
      </c>
      <c r="G45" s="11">
        <v>4980</v>
      </c>
    </row>
    <row r="46" spans="1:7" x14ac:dyDescent="0.2">
      <c r="A46">
        <v>45</v>
      </c>
      <c r="B46" s="45">
        <v>45757</v>
      </c>
      <c r="C46" t="s">
        <v>135</v>
      </c>
      <c r="D46" t="s">
        <v>75</v>
      </c>
      <c r="F46" t="s">
        <v>135</v>
      </c>
      <c r="G46" s="11">
        <v>9935</v>
      </c>
    </row>
    <row r="47" spans="1:7" x14ac:dyDescent="0.2">
      <c r="A47">
        <v>46</v>
      </c>
      <c r="B47" s="45">
        <v>45757</v>
      </c>
      <c r="C47" t="s">
        <v>518</v>
      </c>
      <c r="D47" t="s">
        <v>564</v>
      </c>
      <c r="E47">
        <v>8910206398</v>
      </c>
      <c r="F47" t="s">
        <v>160</v>
      </c>
      <c r="G47" s="11">
        <v>4000</v>
      </c>
    </row>
    <row r="48" spans="1:7" x14ac:dyDescent="0.2">
      <c r="A48">
        <v>47</v>
      </c>
      <c r="B48" s="45">
        <v>45757</v>
      </c>
      <c r="C48" s="35" t="s">
        <v>733</v>
      </c>
      <c r="D48" s="17" t="s">
        <v>149</v>
      </c>
      <c r="E48" s="35">
        <v>9051860399</v>
      </c>
      <c r="F48" t="s">
        <v>160</v>
      </c>
      <c r="G48" s="11">
        <v>4280</v>
      </c>
    </row>
    <row r="49" spans="1:7" x14ac:dyDescent="0.2">
      <c r="A49">
        <v>48</v>
      </c>
      <c r="B49" s="45">
        <v>45765</v>
      </c>
      <c r="C49" t="s">
        <v>135</v>
      </c>
      <c r="D49" t="s">
        <v>565</v>
      </c>
      <c r="F49" t="s">
        <v>135</v>
      </c>
      <c r="G49" s="11">
        <v>3730</v>
      </c>
    </row>
    <row r="50" spans="1:7" ht="17" x14ac:dyDescent="0.2">
      <c r="A50">
        <v>49</v>
      </c>
      <c r="B50" s="45">
        <v>45799</v>
      </c>
      <c r="C50" t="s">
        <v>578</v>
      </c>
      <c r="D50" s="4" t="s">
        <v>579</v>
      </c>
      <c r="E50" s="4">
        <v>9163244658</v>
      </c>
      <c r="F50" t="s">
        <v>135</v>
      </c>
      <c r="G50" s="11">
        <v>5000</v>
      </c>
    </row>
    <row r="51" spans="1:7" ht="17" x14ac:dyDescent="0.2">
      <c r="A51">
        <v>50</v>
      </c>
      <c r="B51" s="45">
        <v>45799</v>
      </c>
      <c r="C51" t="s">
        <v>578</v>
      </c>
      <c r="D51" s="4" t="s">
        <v>6</v>
      </c>
      <c r="E51" s="4" t="s">
        <v>10</v>
      </c>
      <c r="F51" t="s">
        <v>135</v>
      </c>
      <c r="G51" s="11">
        <v>19613</v>
      </c>
    </row>
    <row r="52" spans="1:7" x14ac:dyDescent="0.2">
      <c r="A52">
        <v>51</v>
      </c>
      <c r="B52" s="45">
        <v>45832</v>
      </c>
      <c r="C52" t="s">
        <v>578</v>
      </c>
      <c r="D52" t="s">
        <v>237</v>
      </c>
      <c r="F52" t="s">
        <v>135</v>
      </c>
      <c r="G52" s="11">
        <v>6220</v>
      </c>
    </row>
    <row r="53" spans="1:7" x14ac:dyDescent="0.2">
      <c r="A53">
        <v>52</v>
      </c>
      <c r="B53" s="45">
        <v>45832</v>
      </c>
      <c r="C53" t="s">
        <v>659</v>
      </c>
      <c r="D53" t="s">
        <v>564</v>
      </c>
      <c r="E53">
        <v>8910206398</v>
      </c>
      <c r="F53" t="s">
        <v>160</v>
      </c>
      <c r="G53" s="11">
        <v>7000</v>
      </c>
    </row>
    <row r="54" spans="1:7" x14ac:dyDescent="0.2">
      <c r="A54">
        <v>53</v>
      </c>
      <c r="B54" s="45">
        <v>45832</v>
      </c>
      <c r="C54" t="s">
        <v>661</v>
      </c>
      <c r="D54" t="s">
        <v>564</v>
      </c>
      <c r="E54">
        <v>8910206398</v>
      </c>
      <c r="F54" t="s">
        <v>160</v>
      </c>
      <c r="G54" s="11">
        <v>7000</v>
      </c>
    </row>
    <row r="55" spans="1:7" x14ac:dyDescent="0.2">
      <c r="A55">
        <v>54</v>
      </c>
      <c r="B55" s="45">
        <v>45845</v>
      </c>
      <c r="C55" t="s">
        <v>628</v>
      </c>
      <c r="D55" t="s">
        <v>158</v>
      </c>
      <c r="F55" t="s">
        <v>157</v>
      </c>
      <c r="G55" s="11">
        <v>400</v>
      </c>
    </row>
    <row r="56" spans="1:7" x14ac:dyDescent="0.2">
      <c r="A56">
        <v>55</v>
      </c>
      <c r="B56" s="45">
        <v>45845</v>
      </c>
      <c r="C56" t="s">
        <v>629</v>
      </c>
      <c r="D56" t="s">
        <v>158</v>
      </c>
      <c r="F56" t="s">
        <v>157</v>
      </c>
      <c r="G56" s="11">
        <v>100</v>
      </c>
    </row>
    <row r="57" spans="1:7" x14ac:dyDescent="0.2">
      <c r="A57">
        <v>56</v>
      </c>
      <c r="B57" s="45">
        <v>45845</v>
      </c>
      <c r="C57" t="s">
        <v>630</v>
      </c>
      <c r="D57" t="s">
        <v>158</v>
      </c>
      <c r="F57" t="s">
        <v>157</v>
      </c>
      <c r="G57" s="11">
        <v>290</v>
      </c>
    </row>
    <row r="58" spans="1:7" x14ac:dyDescent="0.2">
      <c r="A58">
        <v>57</v>
      </c>
      <c r="B58" s="45">
        <v>45845</v>
      </c>
      <c r="C58" t="s">
        <v>631</v>
      </c>
      <c r="D58" t="s">
        <v>158</v>
      </c>
      <c r="F58" t="s">
        <v>157</v>
      </c>
      <c r="G58" s="11">
        <v>850</v>
      </c>
    </row>
    <row r="59" spans="1:7" x14ac:dyDescent="0.2">
      <c r="A59">
        <v>58</v>
      </c>
      <c r="B59" s="45">
        <v>45845</v>
      </c>
      <c r="C59" t="s">
        <v>632</v>
      </c>
      <c r="D59" t="s">
        <v>158</v>
      </c>
      <c r="F59" t="s">
        <v>157</v>
      </c>
      <c r="G59" s="11">
        <v>355</v>
      </c>
    </row>
    <row r="60" spans="1:7" x14ac:dyDescent="0.2">
      <c r="A60">
        <v>59</v>
      </c>
      <c r="B60" s="45">
        <v>45848</v>
      </c>
      <c r="C60" t="s">
        <v>578</v>
      </c>
      <c r="D60" t="s">
        <v>155</v>
      </c>
      <c r="F60" t="s">
        <v>135</v>
      </c>
      <c r="G60" s="11">
        <v>19310</v>
      </c>
    </row>
    <row r="61" spans="1:7" x14ac:dyDescent="0.2">
      <c r="A61">
        <v>60</v>
      </c>
      <c r="B61" s="45">
        <v>45889</v>
      </c>
      <c r="C61" t="s">
        <v>578</v>
      </c>
      <c r="D61" t="s">
        <v>75</v>
      </c>
      <c r="F61" t="s">
        <v>135</v>
      </c>
      <c r="G61" s="11">
        <v>20295</v>
      </c>
    </row>
    <row r="62" spans="1:7" x14ac:dyDescent="0.2">
      <c r="A62">
        <v>61</v>
      </c>
      <c r="B62" s="45">
        <v>45890</v>
      </c>
      <c r="C62" t="s">
        <v>666</v>
      </c>
      <c r="D62" t="s">
        <v>158</v>
      </c>
      <c r="F62" t="s">
        <v>157</v>
      </c>
      <c r="G62" s="11">
        <v>560</v>
      </c>
    </row>
    <row r="63" spans="1:7" x14ac:dyDescent="0.2">
      <c r="A63">
        <v>62</v>
      </c>
      <c r="B63" s="45">
        <v>45898</v>
      </c>
      <c r="C63" t="s">
        <v>735</v>
      </c>
      <c r="D63" t="s">
        <v>158</v>
      </c>
      <c r="F63" t="s">
        <v>160</v>
      </c>
      <c r="G63" s="11">
        <v>1500</v>
      </c>
    </row>
    <row r="64" spans="1:7" x14ac:dyDescent="0.2">
      <c r="A64">
        <v>63</v>
      </c>
      <c r="B64" s="45">
        <v>45898</v>
      </c>
      <c r="C64" t="s">
        <v>135</v>
      </c>
      <c r="D64" t="s">
        <v>75</v>
      </c>
      <c r="F64" t="s">
        <v>135</v>
      </c>
      <c r="G64" s="11">
        <v>4735</v>
      </c>
    </row>
    <row r="65" spans="1:7" x14ac:dyDescent="0.2">
      <c r="A65">
        <v>64</v>
      </c>
      <c r="B65" s="45">
        <v>45903</v>
      </c>
      <c r="C65" t="s">
        <v>135</v>
      </c>
      <c r="D65" t="s">
        <v>711</v>
      </c>
      <c r="F65" t="s">
        <v>135</v>
      </c>
      <c r="G65" s="11">
        <v>8080</v>
      </c>
    </row>
    <row r="66" spans="1:7" x14ac:dyDescent="0.2">
      <c r="A66">
        <v>65</v>
      </c>
      <c r="B66" s="45">
        <v>45911</v>
      </c>
      <c r="C66" t="s">
        <v>736</v>
      </c>
      <c r="D66" t="s">
        <v>564</v>
      </c>
      <c r="F66" t="s">
        <v>160</v>
      </c>
      <c r="G66" s="11">
        <v>7000</v>
      </c>
    </row>
    <row r="67" spans="1:7" x14ac:dyDescent="0.2">
      <c r="A67">
        <v>66</v>
      </c>
      <c r="B67" s="45">
        <v>45911</v>
      </c>
      <c r="C67" t="s">
        <v>734</v>
      </c>
      <c r="D67" t="s">
        <v>149</v>
      </c>
      <c r="F67" t="s">
        <v>160</v>
      </c>
      <c r="G67" s="11">
        <v>4800</v>
      </c>
    </row>
    <row r="68" spans="1:7" x14ac:dyDescent="0.2">
      <c r="A68">
        <v>67</v>
      </c>
      <c r="B68" s="45">
        <v>45912</v>
      </c>
      <c r="C68" t="s">
        <v>883</v>
      </c>
      <c r="D68" t="s">
        <v>75</v>
      </c>
      <c r="F68" t="s">
        <v>135</v>
      </c>
      <c r="G68" s="11">
        <v>20500</v>
      </c>
    </row>
    <row r="69" spans="1:7" x14ac:dyDescent="0.2">
      <c r="A69">
        <v>68</v>
      </c>
      <c r="B69" s="45">
        <v>45938</v>
      </c>
      <c r="C69" s="35" t="s">
        <v>856</v>
      </c>
      <c r="D69" s="17" t="s">
        <v>149</v>
      </c>
      <c r="E69" s="35">
        <v>9051860399</v>
      </c>
      <c r="F69" t="s">
        <v>160</v>
      </c>
      <c r="G69" s="11">
        <v>4250</v>
      </c>
    </row>
    <row r="70" spans="1:7" ht="17" x14ac:dyDescent="0.2">
      <c r="A70">
        <v>69</v>
      </c>
      <c r="B70" s="45">
        <v>45973</v>
      </c>
      <c r="C70" t="s">
        <v>135</v>
      </c>
      <c r="D70" s="4" t="s">
        <v>816</v>
      </c>
      <c r="F70" t="s">
        <v>135</v>
      </c>
      <c r="G70" s="11">
        <v>5150</v>
      </c>
    </row>
    <row r="71" spans="1:7" ht="17" x14ac:dyDescent="0.2">
      <c r="A71">
        <v>70</v>
      </c>
      <c r="B71" s="45">
        <v>45973</v>
      </c>
      <c r="C71" t="s">
        <v>135</v>
      </c>
      <c r="D71" s="4" t="s">
        <v>814</v>
      </c>
      <c r="F71" t="s">
        <v>135</v>
      </c>
      <c r="G71" s="11">
        <v>18460</v>
      </c>
    </row>
    <row r="72" spans="1:7" x14ac:dyDescent="0.2">
      <c r="A72">
        <v>71</v>
      </c>
      <c r="B72" s="45">
        <v>46001</v>
      </c>
      <c r="C72" t="s">
        <v>855</v>
      </c>
      <c r="D72" t="s">
        <v>564</v>
      </c>
      <c r="F72" t="s">
        <v>160</v>
      </c>
      <c r="G72" s="11">
        <v>6500</v>
      </c>
    </row>
    <row r="73" spans="1:7" x14ac:dyDescent="0.2">
      <c r="A73">
        <v>72</v>
      </c>
      <c r="B73" s="45">
        <v>46002</v>
      </c>
      <c r="C73" t="s">
        <v>135</v>
      </c>
      <c r="D73" t="s">
        <v>565</v>
      </c>
      <c r="F73" t="s">
        <v>135</v>
      </c>
      <c r="G73" s="11">
        <v>11180</v>
      </c>
    </row>
    <row r="74" spans="1:7" x14ac:dyDescent="0.2">
      <c r="A74">
        <v>73</v>
      </c>
      <c r="B74" s="45">
        <v>46029</v>
      </c>
      <c r="C74" t="s">
        <v>135</v>
      </c>
      <c r="D74" t="s">
        <v>75</v>
      </c>
      <c r="F74" t="s">
        <v>135</v>
      </c>
      <c r="G74" s="11">
        <v>31150</v>
      </c>
    </row>
    <row r="75" spans="1:7" x14ac:dyDescent="0.2">
      <c r="A75">
        <v>74</v>
      </c>
      <c r="B75" s="45">
        <v>46029</v>
      </c>
      <c r="C75" s="35" t="s">
        <v>950</v>
      </c>
      <c r="D75" s="17" t="s">
        <v>149</v>
      </c>
      <c r="F75" t="s">
        <v>160</v>
      </c>
      <c r="G75" s="11">
        <v>4250</v>
      </c>
    </row>
    <row r="76" spans="1:7" x14ac:dyDescent="0.2">
      <c r="A76">
        <v>75</v>
      </c>
      <c r="B76" s="45">
        <v>46034</v>
      </c>
      <c r="C76" t="s">
        <v>1045</v>
      </c>
      <c r="D76" s="17" t="s">
        <v>149</v>
      </c>
      <c r="F76" t="s">
        <v>160</v>
      </c>
      <c r="G76" s="11">
        <v>4500</v>
      </c>
    </row>
    <row r="77" spans="1:7" x14ac:dyDescent="0.2">
      <c r="A77">
        <v>76</v>
      </c>
      <c r="B77" s="45">
        <v>46078</v>
      </c>
      <c r="C77" t="s">
        <v>135</v>
      </c>
      <c r="D77" t="s">
        <v>992</v>
      </c>
      <c r="F77" t="s">
        <v>135</v>
      </c>
      <c r="G77" s="11">
        <v>33630</v>
      </c>
    </row>
    <row r="78" spans="1:7" x14ac:dyDescent="0.2">
      <c r="A78">
        <v>77</v>
      </c>
      <c r="B78" s="45">
        <v>46080</v>
      </c>
      <c r="C78" t="s">
        <v>135</v>
      </c>
      <c r="D78" t="s">
        <v>75</v>
      </c>
      <c r="F78" t="s">
        <v>135</v>
      </c>
      <c r="G78" s="11">
        <v>27370</v>
      </c>
    </row>
  </sheetData>
  <dataValidations count="1">
    <dataValidation type="list" allowBlank="1" showInputMessage="1" showErrorMessage="1" sqref="F1:F1048576" xr:uid="{0CEAC427-F0D4-584E-AAE2-AC1541A68997}">
      <formula1>$P$2:$P$4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F1F2-3D0F-F942-AA3B-046116C09CD7}">
  <dimension ref="A1:M932"/>
  <sheetViews>
    <sheetView topLeftCell="D1" zoomScale="125" zoomScaleNormal="70" workbookViewId="0">
      <selection activeCell="M3" sqref="M3"/>
    </sheetView>
  </sheetViews>
  <sheetFormatPr baseColWidth="10" defaultColWidth="10.6640625" defaultRowHeight="16" x14ac:dyDescent="0.2"/>
  <cols>
    <col min="1" max="1" width="5.83203125" style="1" bestFit="1" customWidth="1"/>
    <col min="2" max="2" width="8.83203125" style="1" bestFit="1" customWidth="1"/>
    <col min="3" max="3" width="13.1640625" style="1" customWidth="1"/>
    <col min="4" max="4" width="68.83203125" style="1" customWidth="1"/>
    <col min="5" max="5" width="21.5" style="1" customWidth="1"/>
    <col min="6" max="6" width="24" style="1" customWidth="1"/>
    <col min="7" max="7" width="10.83203125" style="1"/>
    <col min="8" max="9" width="10.83203125" style="7"/>
    <col min="10" max="10" width="10.83203125" style="1" customWidth="1"/>
    <col min="11" max="11" width="10.83203125" style="7"/>
    <col min="12" max="12" width="22.33203125" style="1" customWidth="1"/>
  </cols>
  <sheetData>
    <row r="1" spans="1:13" x14ac:dyDescent="0.2">
      <c r="A1" s="40" t="s">
        <v>26</v>
      </c>
      <c r="B1" s="14" t="s">
        <v>37</v>
      </c>
      <c r="C1" s="14" t="s">
        <v>38</v>
      </c>
      <c r="D1" s="14" t="s">
        <v>39</v>
      </c>
      <c r="E1" s="14" t="s">
        <v>40</v>
      </c>
      <c r="F1" s="14" t="s">
        <v>41</v>
      </c>
      <c r="G1" s="14" t="s">
        <v>42</v>
      </c>
      <c r="H1" s="15" t="s">
        <v>63</v>
      </c>
      <c r="I1" s="15" t="s">
        <v>66</v>
      </c>
      <c r="J1" s="14" t="s">
        <v>64</v>
      </c>
      <c r="K1" s="15" t="s">
        <v>65</v>
      </c>
      <c r="L1" s="16" t="s">
        <v>67</v>
      </c>
      <c r="M1" s="15" t="s">
        <v>2186</v>
      </c>
    </row>
    <row r="2" spans="1:13" x14ac:dyDescent="0.2">
      <c r="A2" s="2">
        <v>1</v>
      </c>
      <c r="B2" s="2" t="s">
        <v>687</v>
      </c>
      <c r="C2" s="2" t="s">
        <v>43</v>
      </c>
      <c r="D2" s="2" t="s">
        <v>76</v>
      </c>
      <c r="E2" s="2" t="s">
        <v>7</v>
      </c>
      <c r="F2" s="2" t="s">
        <v>6</v>
      </c>
      <c r="G2" s="2" t="s">
        <v>48</v>
      </c>
      <c r="H2" s="23">
        <v>699</v>
      </c>
      <c r="I2" s="6">
        <v>899</v>
      </c>
      <c r="J2" s="1" t="s">
        <v>163</v>
      </c>
      <c r="K2" s="6">
        <v>832</v>
      </c>
      <c r="L2" s="24" t="s">
        <v>700</v>
      </c>
      <c r="M2" s="70" t="str">
        <f>VLOOKUP(Table3[[#This Row],[Shop Name]],seller!A:A,1,0)</f>
        <v>N G Garments</v>
      </c>
    </row>
    <row r="3" spans="1:13" x14ac:dyDescent="0.2">
      <c r="A3" s="2">
        <v>2</v>
      </c>
      <c r="B3" s="2">
        <v>9</v>
      </c>
      <c r="C3" s="2" t="s">
        <v>43</v>
      </c>
      <c r="D3" s="2" t="s">
        <v>76</v>
      </c>
      <c r="E3" s="2" t="s">
        <v>7</v>
      </c>
      <c r="F3" s="2" t="s">
        <v>6</v>
      </c>
      <c r="G3" s="2" t="s">
        <v>54</v>
      </c>
      <c r="H3" s="23">
        <v>699</v>
      </c>
      <c r="I3" s="6">
        <v>899</v>
      </c>
      <c r="J3" s="1" t="s">
        <v>163</v>
      </c>
      <c r="K3" s="6">
        <v>850</v>
      </c>
      <c r="L3" s="50" t="s">
        <v>164</v>
      </c>
      <c r="M3" s="70" t="str">
        <f>VLOOKUP(Table3[[#This Row],[Shop Name]],seller!A:A,1,0)</f>
        <v>N G Garments</v>
      </c>
    </row>
    <row r="4" spans="1:13" x14ac:dyDescent="0.2">
      <c r="A4" s="2">
        <v>3</v>
      </c>
      <c r="B4" s="2">
        <v>9</v>
      </c>
      <c r="C4" s="2" t="s">
        <v>43</v>
      </c>
      <c r="D4" s="2" t="s">
        <v>76</v>
      </c>
      <c r="E4" s="2" t="s">
        <v>7</v>
      </c>
      <c r="F4" s="2" t="s">
        <v>6</v>
      </c>
      <c r="G4" s="2" t="s">
        <v>44</v>
      </c>
      <c r="H4" s="23">
        <v>699</v>
      </c>
      <c r="I4" s="6">
        <v>899</v>
      </c>
      <c r="J4" s="1" t="s">
        <v>163</v>
      </c>
      <c r="K4" s="6">
        <v>850</v>
      </c>
      <c r="L4" s="50" t="s">
        <v>334</v>
      </c>
      <c r="M4" s="70" t="str">
        <f>VLOOKUP(Table3[[#This Row],[Shop Name]],seller!A:A,1,0)</f>
        <v>N G Garments</v>
      </c>
    </row>
    <row r="5" spans="1:13" ht="32" x14ac:dyDescent="0.2">
      <c r="A5" s="2">
        <v>4</v>
      </c>
      <c r="B5" s="2">
        <v>5</v>
      </c>
      <c r="C5" s="2" t="s">
        <v>43</v>
      </c>
      <c r="D5" s="2" t="s">
        <v>299</v>
      </c>
      <c r="E5" s="2" t="s">
        <v>7</v>
      </c>
      <c r="F5" s="2" t="s">
        <v>6</v>
      </c>
      <c r="G5" s="2" t="s">
        <v>44</v>
      </c>
      <c r="H5" s="23">
        <v>799</v>
      </c>
      <c r="I5" s="6">
        <v>999</v>
      </c>
      <c r="J5" s="1" t="s">
        <v>163</v>
      </c>
      <c r="K5" s="6">
        <v>900</v>
      </c>
      <c r="L5" s="50" t="s">
        <v>390</v>
      </c>
      <c r="M5" s="70" t="str">
        <f>VLOOKUP(Table3[[#This Row],[Shop Name]],seller!A:A,1,0)</f>
        <v>N G Garments</v>
      </c>
    </row>
    <row r="6" spans="1:13" ht="32" x14ac:dyDescent="0.2">
      <c r="A6" s="2">
        <v>5</v>
      </c>
      <c r="B6" s="2">
        <v>5</v>
      </c>
      <c r="C6" s="2" t="s">
        <v>43</v>
      </c>
      <c r="D6" s="2" t="s">
        <v>77</v>
      </c>
      <c r="E6" s="2" t="s">
        <v>7</v>
      </c>
      <c r="F6" s="2" t="s">
        <v>6</v>
      </c>
      <c r="G6" s="2" t="s">
        <v>48</v>
      </c>
      <c r="H6" s="23">
        <v>799</v>
      </c>
      <c r="I6" s="6">
        <v>999</v>
      </c>
      <c r="J6" s="1" t="s">
        <v>163</v>
      </c>
      <c r="K6" s="6">
        <v>980</v>
      </c>
      <c r="L6" s="50" t="s">
        <v>272</v>
      </c>
      <c r="M6" s="70" t="str">
        <f>VLOOKUP(Table3[[#This Row],[Shop Name]],seller!A:A,1,0)</f>
        <v>N G Garments</v>
      </c>
    </row>
    <row r="7" spans="1:13" ht="32" x14ac:dyDescent="0.2">
      <c r="A7" s="2">
        <v>6</v>
      </c>
      <c r="B7" s="2">
        <v>5</v>
      </c>
      <c r="C7" s="2" t="s">
        <v>43</v>
      </c>
      <c r="D7" s="2" t="s">
        <v>77</v>
      </c>
      <c r="E7" s="2" t="s">
        <v>7</v>
      </c>
      <c r="F7" s="2" t="s">
        <v>6</v>
      </c>
      <c r="G7" s="2" t="s">
        <v>54</v>
      </c>
      <c r="H7" s="23">
        <v>799</v>
      </c>
      <c r="I7" s="6">
        <v>999</v>
      </c>
      <c r="J7" s="1" t="s">
        <v>163</v>
      </c>
      <c r="K7" s="6">
        <v>949</v>
      </c>
      <c r="L7" s="50" t="s">
        <v>165</v>
      </c>
      <c r="M7" s="70" t="str">
        <f>VLOOKUP(Table3[[#This Row],[Shop Name]],seller!A:A,1,0)</f>
        <v>N G Garments</v>
      </c>
    </row>
    <row r="8" spans="1:13" ht="32" x14ac:dyDescent="0.2">
      <c r="A8" s="2">
        <v>7</v>
      </c>
      <c r="B8" s="2">
        <v>5</v>
      </c>
      <c r="C8" s="2" t="s">
        <v>43</v>
      </c>
      <c r="D8" s="2" t="s">
        <v>77</v>
      </c>
      <c r="E8" s="2" t="s">
        <v>7</v>
      </c>
      <c r="F8" s="2" t="s">
        <v>6</v>
      </c>
      <c r="G8" s="2" t="s">
        <v>44</v>
      </c>
      <c r="H8" s="23">
        <v>799</v>
      </c>
      <c r="I8" s="6">
        <v>999</v>
      </c>
      <c r="J8" s="1" t="s">
        <v>163</v>
      </c>
      <c r="K8" s="6">
        <v>950</v>
      </c>
      <c r="L8" s="50" t="s">
        <v>271</v>
      </c>
      <c r="M8" s="70" t="str">
        <f>VLOOKUP(Table3[[#This Row],[Shop Name]],seller!A:A,1,0)</f>
        <v>N G Garments</v>
      </c>
    </row>
    <row r="9" spans="1:13" ht="32" x14ac:dyDescent="0.2">
      <c r="A9" s="2">
        <v>8</v>
      </c>
      <c r="B9" s="2">
        <v>8</v>
      </c>
      <c r="C9" s="2" t="s">
        <v>45</v>
      </c>
      <c r="D9" s="2" t="s">
        <v>166</v>
      </c>
      <c r="E9" s="2" t="s">
        <v>7</v>
      </c>
      <c r="F9" s="2" t="s">
        <v>6</v>
      </c>
      <c r="G9" s="2" t="s">
        <v>48</v>
      </c>
      <c r="H9" s="23">
        <v>555</v>
      </c>
      <c r="I9" s="6">
        <v>755</v>
      </c>
      <c r="J9" s="1" t="s">
        <v>163</v>
      </c>
      <c r="K9" s="6">
        <v>700</v>
      </c>
      <c r="L9" s="50" t="s">
        <v>167</v>
      </c>
      <c r="M9" s="70" t="str">
        <f>VLOOKUP(Table3[[#This Row],[Shop Name]],seller!A:A,1,0)</f>
        <v>N G Garments</v>
      </c>
    </row>
    <row r="10" spans="1:13" ht="32" x14ac:dyDescent="0.2">
      <c r="A10" s="2">
        <v>9</v>
      </c>
      <c r="B10" s="2">
        <v>8</v>
      </c>
      <c r="C10" s="2" t="s">
        <v>45</v>
      </c>
      <c r="D10" s="2" t="s">
        <v>168</v>
      </c>
      <c r="E10" s="2" t="s">
        <v>7</v>
      </c>
      <c r="F10" s="2" t="s">
        <v>6</v>
      </c>
      <c r="G10" s="2" t="s">
        <v>54</v>
      </c>
      <c r="H10" s="23">
        <v>555</v>
      </c>
      <c r="I10" s="6">
        <v>755</v>
      </c>
      <c r="J10" s="1" t="s">
        <v>163</v>
      </c>
      <c r="K10" s="6">
        <v>555</v>
      </c>
      <c r="L10" s="1" t="s">
        <v>333</v>
      </c>
      <c r="M10" s="70" t="str">
        <f>VLOOKUP(Table3[[#This Row],[Shop Name]],seller!A:A,1,0)</f>
        <v>N G Garments</v>
      </c>
    </row>
    <row r="11" spans="1:13" ht="32" x14ac:dyDescent="0.2">
      <c r="A11" s="2">
        <v>10</v>
      </c>
      <c r="B11" s="2">
        <v>8</v>
      </c>
      <c r="C11" s="2" t="s">
        <v>45</v>
      </c>
      <c r="D11" s="2" t="s">
        <v>168</v>
      </c>
      <c r="E11" s="2" t="s">
        <v>7</v>
      </c>
      <c r="F11" s="2" t="s">
        <v>6</v>
      </c>
      <c r="G11" s="2" t="s">
        <v>44</v>
      </c>
      <c r="H11" s="23">
        <v>555</v>
      </c>
      <c r="I11" s="6">
        <v>755</v>
      </c>
      <c r="J11" s="1" t="s">
        <v>163</v>
      </c>
      <c r="K11" s="6">
        <v>600</v>
      </c>
      <c r="L11" s="50" t="s">
        <v>503</v>
      </c>
      <c r="M11" s="70" t="str">
        <f>VLOOKUP(Table3[[#This Row],[Shop Name]],seller!A:A,1,0)</f>
        <v>N G Garments</v>
      </c>
    </row>
    <row r="12" spans="1:13" ht="32" x14ac:dyDescent="0.2">
      <c r="A12" s="2">
        <v>11</v>
      </c>
      <c r="B12" s="2" t="s">
        <v>686</v>
      </c>
      <c r="C12" s="2" t="s">
        <v>45</v>
      </c>
      <c r="D12" s="2" t="s">
        <v>168</v>
      </c>
      <c r="E12" s="2" t="s">
        <v>7</v>
      </c>
      <c r="F12" s="2" t="s">
        <v>6</v>
      </c>
      <c r="G12" s="2" t="s">
        <v>49</v>
      </c>
      <c r="H12" s="23">
        <v>555</v>
      </c>
      <c r="I12" s="6">
        <v>755</v>
      </c>
      <c r="J12" s="1" t="s">
        <v>163</v>
      </c>
      <c r="K12" s="6">
        <v>680</v>
      </c>
      <c r="L12" s="1" t="s">
        <v>698</v>
      </c>
      <c r="M12" s="70" t="str">
        <f>VLOOKUP(Table3[[#This Row],[Shop Name]],seller!A:A,1,0)</f>
        <v>N G Garments</v>
      </c>
    </row>
    <row r="13" spans="1:13" ht="32" x14ac:dyDescent="0.2">
      <c r="A13" s="2">
        <v>12</v>
      </c>
      <c r="B13" s="2">
        <v>7</v>
      </c>
      <c r="C13" s="2" t="s">
        <v>45</v>
      </c>
      <c r="D13" s="2" t="s">
        <v>169</v>
      </c>
      <c r="E13" s="2" t="s">
        <v>7</v>
      </c>
      <c r="F13" s="2" t="s">
        <v>6</v>
      </c>
      <c r="G13" s="2" t="s">
        <v>48</v>
      </c>
      <c r="H13" s="23">
        <v>499</v>
      </c>
      <c r="I13" s="6">
        <v>699</v>
      </c>
      <c r="J13" s="1" t="s">
        <v>163</v>
      </c>
      <c r="K13" s="6">
        <v>699</v>
      </c>
      <c r="L13" s="50" t="s">
        <v>426</v>
      </c>
      <c r="M13" s="70" t="str">
        <f>VLOOKUP(Table3[[#This Row],[Shop Name]],seller!A:A,1,0)</f>
        <v>N G Garments</v>
      </c>
    </row>
    <row r="14" spans="1:13" ht="32" x14ac:dyDescent="0.2">
      <c r="A14" s="2">
        <v>13</v>
      </c>
      <c r="B14" s="2">
        <v>7</v>
      </c>
      <c r="C14" s="2" t="s">
        <v>45</v>
      </c>
      <c r="D14" s="2" t="s">
        <v>169</v>
      </c>
      <c r="E14" s="2" t="s">
        <v>7</v>
      </c>
      <c r="F14" s="2" t="s">
        <v>6</v>
      </c>
      <c r="G14" s="2" t="s">
        <v>44</v>
      </c>
      <c r="H14" s="23">
        <v>499</v>
      </c>
      <c r="I14" s="6">
        <v>699</v>
      </c>
      <c r="J14" s="1" t="s">
        <v>163</v>
      </c>
      <c r="K14" s="6">
        <v>643</v>
      </c>
      <c r="L14" s="50" t="s">
        <v>392</v>
      </c>
      <c r="M14" s="70" t="str">
        <f>VLOOKUP(Table3[[#This Row],[Shop Name]],seller!A:A,1,0)</f>
        <v>N G Garments</v>
      </c>
    </row>
    <row r="15" spans="1:13" ht="32" x14ac:dyDescent="0.2">
      <c r="A15" s="2">
        <v>14</v>
      </c>
      <c r="B15" s="2">
        <v>7</v>
      </c>
      <c r="C15" s="2" t="s">
        <v>45</v>
      </c>
      <c r="D15" s="2" t="s">
        <v>169</v>
      </c>
      <c r="E15" s="2" t="s">
        <v>7</v>
      </c>
      <c r="F15" s="2" t="s">
        <v>6</v>
      </c>
      <c r="G15" s="2" t="s">
        <v>49</v>
      </c>
      <c r="H15" s="23">
        <v>499</v>
      </c>
      <c r="I15" s="6">
        <v>699</v>
      </c>
      <c r="J15" s="1" t="s">
        <v>163</v>
      </c>
      <c r="K15" s="6">
        <v>499</v>
      </c>
      <c r="L15" s="50" t="s">
        <v>177</v>
      </c>
      <c r="M15" s="70" t="str">
        <f>VLOOKUP(Table3[[#This Row],[Shop Name]],seller!A:A,1,0)</f>
        <v>N G Garments</v>
      </c>
    </row>
    <row r="16" spans="1:13" ht="32" x14ac:dyDescent="0.2">
      <c r="A16" s="2">
        <v>15</v>
      </c>
      <c r="B16" s="2">
        <v>6</v>
      </c>
      <c r="C16" s="2" t="s">
        <v>46</v>
      </c>
      <c r="D16" s="2" t="s">
        <v>755</v>
      </c>
      <c r="E16" s="2" t="s">
        <v>47</v>
      </c>
      <c r="F16" s="2" t="s">
        <v>6</v>
      </c>
      <c r="G16" s="2" t="s">
        <v>48</v>
      </c>
      <c r="H16" s="23">
        <v>545</v>
      </c>
      <c r="I16" s="6">
        <v>750</v>
      </c>
      <c r="J16" s="1" t="s">
        <v>163</v>
      </c>
      <c r="K16" s="6">
        <v>670</v>
      </c>
      <c r="L16" s="1" t="s">
        <v>702</v>
      </c>
      <c r="M16" s="70" t="str">
        <f>VLOOKUP(Table3[[#This Row],[Shop Name]],seller!A:A,1,0)</f>
        <v>N G Garments</v>
      </c>
    </row>
    <row r="17" spans="1:13" ht="32" x14ac:dyDescent="0.2">
      <c r="A17" s="2">
        <v>16</v>
      </c>
      <c r="B17" s="2" t="s">
        <v>804</v>
      </c>
      <c r="C17" s="2" t="s">
        <v>46</v>
      </c>
      <c r="D17" s="2" t="s">
        <v>756</v>
      </c>
      <c r="E17" s="2" t="s">
        <v>47</v>
      </c>
      <c r="F17" s="2" t="s">
        <v>6</v>
      </c>
      <c r="G17" s="2" t="s">
        <v>48</v>
      </c>
      <c r="H17" s="23">
        <v>545</v>
      </c>
      <c r="I17" s="6">
        <v>750</v>
      </c>
      <c r="J17" s="1" t="s">
        <v>163</v>
      </c>
      <c r="K17" s="6">
        <v>688</v>
      </c>
      <c r="L17" s="1" t="s">
        <v>810</v>
      </c>
      <c r="M17" s="70" t="str">
        <f>VLOOKUP(Table3[[#This Row],[Shop Name]],seller!A:A,1,0)</f>
        <v>N G Garments</v>
      </c>
    </row>
    <row r="18" spans="1:13" s="35" customFormat="1" ht="32" x14ac:dyDescent="0.2">
      <c r="A18" s="2">
        <v>17</v>
      </c>
      <c r="B18" s="41">
        <v>10</v>
      </c>
      <c r="C18" s="22" t="s">
        <v>68</v>
      </c>
      <c r="D18" s="22" t="s">
        <v>69</v>
      </c>
      <c r="E18" s="41" t="s">
        <v>7</v>
      </c>
      <c r="F18" s="22" t="s">
        <v>6</v>
      </c>
      <c r="G18" s="41" t="s">
        <v>48</v>
      </c>
      <c r="H18" s="42">
        <v>810</v>
      </c>
      <c r="I18" s="42">
        <v>1025</v>
      </c>
      <c r="J18" s="24" t="s">
        <v>163</v>
      </c>
      <c r="K18" s="23">
        <v>900</v>
      </c>
      <c r="L18" s="50" t="s">
        <v>548</v>
      </c>
      <c r="M18" s="70" t="str">
        <f>VLOOKUP(Table3[[#This Row],[Shop Name]],seller!A:A,1,0)</f>
        <v>N G Garments</v>
      </c>
    </row>
    <row r="19" spans="1:13" s="35" customFormat="1" ht="32" x14ac:dyDescent="0.2">
      <c r="A19" s="2">
        <v>18</v>
      </c>
      <c r="B19" s="41">
        <v>10</v>
      </c>
      <c r="C19" s="22" t="s">
        <v>68</v>
      </c>
      <c r="D19" s="22" t="s">
        <v>70</v>
      </c>
      <c r="E19" s="41" t="s">
        <v>7</v>
      </c>
      <c r="F19" s="22" t="s">
        <v>6</v>
      </c>
      <c r="G19" s="41" t="s">
        <v>48</v>
      </c>
      <c r="H19" s="42">
        <v>725</v>
      </c>
      <c r="I19" s="42">
        <v>1025</v>
      </c>
      <c r="J19" s="24" t="s">
        <v>163</v>
      </c>
      <c r="K19" s="23">
        <v>725</v>
      </c>
      <c r="L19" s="24" t="s">
        <v>333</v>
      </c>
      <c r="M19" s="70" t="str">
        <f>VLOOKUP(Table3[[#This Row],[Shop Name]],seller!A:A,1,0)</f>
        <v>N G Garments</v>
      </c>
    </row>
    <row r="20" spans="1:13" x14ac:dyDescent="0.2">
      <c r="A20" s="2">
        <v>19</v>
      </c>
      <c r="B20" s="8">
        <v>1</v>
      </c>
      <c r="C20" s="2" t="s">
        <v>43</v>
      </c>
      <c r="D20" s="2" t="s">
        <v>170</v>
      </c>
      <c r="E20" s="2" t="s">
        <v>7</v>
      </c>
      <c r="F20" s="2" t="s">
        <v>6</v>
      </c>
      <c r="G20" s="8" t="s">
        <v>49</v>
      </c>
      <c r="H20" s="42">
        <v>499</v>
      </c>
      <c r="I20" s="9">
        <v>699</v>
      </c>
      <c r="J20" s="1" t="s">
        <v>163</v>
      </c>
      <c r="K20" s="6">
        <v>499</v>
      </c>
      <c r="L20" s="50" t="s">
        <v>177</v>
      </c>
      <c r="M20" s="70" t="str">
        <f>VLOOKUP(Table3[[#This Row],[Shop Name]],seller!A:A,1,0)</f>
        <v>N G Garments</v>
      </c>
    </row>
    <row r="21" spans="1:13" x14ac:dyDescent="0.2">
      <c r="A21" s="2">
        <v>20</v>
      </c>
      <c r="B21" s="8">
        <v>1</v>
      </c>
      <c r="C21" s="2" t="s">
        <v>43</v>
      </c>
      <c r="D21" s="2" t="s">
        <v>171</v>
      </c>
      <c r="E21" s="2" t="s">
        <v>7</v>
      </c>
      <c r="F21" s="2" t="s">
        <v>6</v>
      </c>
      <c r="G21" s="8" t="s">
        <v>49</v>
      </c>
      <c r="H21" s="42">
        <v>499</v>
      </c>
      <c r="I21" s="9">
        <v>699</v>
      </c>
      <c r="J21" s="1" t="s">
        <v>163</v>
      </c>
      <c r="K21" s="6">
        <v>499</v>
      </c>
      <c r="L21" s="50" t="s">
        <v>177</v>
      </c>
      <c r="M21" s="70" t="str">
        <f>VLOOKUP(Table3[[#This Row],[Shop Name]],seller!A:A,1,0)</f>
        <v>N G Garments</v>
      </c>
    </row>
    <row r="22" spans="1:13" ht="32" x14ac:dyDescent="0.2">
      <c r="A22" s="2">
        <v>21</v>
      </c>
      <c r="B22" s="2">
        <v>2</v>
      </c>
      <c r="C22" s="2" t="s">
        <v>43</v>
      </c>
      <c r="D22" s="2" t="s">
        <v>78</v>
      </c>
      <c r="E22" s="2" t="s">
        <v>7</v>
      </c>
      <c r="F22" s="2" t="s">
        <v>6</v>
      </c>
      <c r="G22" s="2" t="s">
        <v>48</v>
      </c>
      <c r="H22" s="23">
        <v>599</v>
      </c>
      <c r="I22" s="6">
        <v>799</v>
      </c>
      <c r="J22" s="1" t="s">
        <v>163</v>
      </c>
      <c r="K22" s="6">
        <v>750</v>
      </c>
      <c r="L22" s="50" t="s">
        <v>273</v>
      </c>
      <c r="M22" s="70" t="str">
        <f>VLOOKUP(Table3[[#This Row],[Shop Name]],seller!A:A,1,0)</f>
        <v>N G Garments</v>
      </c>
    </row>
    <row r="23" spans="1:13" ht="32" x14ac:dyDescent="0.2">
      <c r="A23" s="2">
        <v>22</v>
      </c>
      <c r="B23" s="2">
        <v>2</v>
      </c>
      <c r="C23" s="2" t="s">
        <v>43</v>
      </c>
      <c r="D23" s="2" t="s">
        <v>78</v>
      </c>
      <c r="E23" s="2" t="s">
        <v>7</v>
      </c>
      <c r="F23" s="2" t="s">
        <v>6</v>
      </c>
      <c r="G23" s="2" t="s">
        <v>54</v>
      </c>
      <c r="H23" s="23">
        <v>599</v>
      </c>
      <c r="I23" s="6">
        <v>799</v>
      </c>
      <c r="J23" s="1" t="s">
        <v>163</v>
      </c>
      <c r="K23" s="6">
        <v>799</v>
      </c>
      <c r="L23" s="50" t="s">
        <v>172</v>
      </c>
      <c r="M23" s="70" t="str">
        <f>VLOOKUP(Table3[[#This Row],[Shop Name]],seller!A:A,1,0)</f>
        <v>N G Garments</v>
      </c>
    </row>
    <row r="24" spans="1:13" ht="32" x14ac:dyDescent="0.2">
      <c r="A24" s="2">
        <v>23</v>
      </c>
      <c r="B24" s="2">
        <v>2</v>
      </c>
      <c r="C24" s="2" t="s">
        <v>43</v>
      </c>
      <c r="D24" s="2" t="s">
        <v>78</v>
      </c>
      <c r="E24" s="2" t="s">
        <v>7</v>
      </c>
      <c r="F24" s="2" t="s">
        <v>6</v>
      </c>
      <c r="G24" s="2" t="s">
        <v>44</v>
      </c>
      <c r="H24" s="23">
        <v>599</v>
      </c>
      <c r="I24" s="6">
        <v>799</v>
      </c>
      <c r="J24" s="1" t="s">
        <v>163</v>
      </c>
      <c r="K24" s="6">
        <v>799</v>
      </c>
      <c r="L24" s="52" t="s">
        <v>173</v>
      </c>
      <c r="M24" s="70" t="str">
        <f>VLOOKUP(Table3[[#This Row],[Shop Name]],seller!A:A,1,0)</f>
        <v>N G Garments</v>
      </c>
    </row>
    <row r="25" spans="1:13" ht="32" x14ac:dyDescent="0.2">
      <c r="A25" s="2">
        <v>24</v>
      </c>
      <c r="B25" s="2">
        <v>3</v>
      </c>
      <c r="C25" s="2" t="s">
        <v>43</v>
      </c>
      <c r="D25" s="2" t="s">
        <v>71</v>
      </c>
      <c r="E25" s="2" t="s">
        <v>7</v>
      </c>
      <c r="F25" s="2" t="s">
        <v>6</v>
      </c>
      <c r="G25" s="2" t="s">
        <v>48</v>
      </c>
      <c r="H25" s="23">
        <v>655</v>
      </c>
      <c r="I25" s="6">
        <v>855</v>
      </c>
      <c r="J25" s="1" t="s">
        <v>163</v>
      </c>
      <c r="K25" s="6">
        <v>775</v>
      </c>
      <c r="L25" s="50" t="s">
        <v>383</v>
      </c>
      <c r="M25" s="70" t="str">
        <f>VLOOKUP(Table3[[#This Row],[Shop Name]],seller!A:A,1,0)</f>
        <v>N G Garments</v>
      </c>
    </row>
    <row r="26" spans="1:13" ht="32" x14ac:dyDescent="0.2">
      <c r="A26" s="2">
        <v>25</v>
      </c>
      <c r="B26" s="2">
        <v>3</v>
      </c>
      <c r="C26" s="2" t="s">
        <v>43</v>
      </c>
      <c r="D26" s="2" t="s">
        <v>71</v>
      </c>
      <c r="E26" s="2" t="s">
        <v>7</v>
      </c>
      <c r="F26" s="2" t="s">
        <v>6</v>
      </c>
      <c r="G26" s="2" t="s">
        <v>54</v>
      </c>
      <c r="H26" s="23">
        <v>655</v>
      </c>
      <c r="I26" s="6">
        <v>855</v>
      </c>
      <c r="J26" s="1" t="s">
        <v>163</v>
      </c>
      <c r="K26" s="6">
        <v>800</v>
      </c>
      <c r="L26" s="50" t="s">
        <v>327</v>
      </c>
      <c r="M26" s="70" t="str">
        <f>VLOOKUP(Table3[[#This Row],[Shop Name]],seller!A:A,1,0)</f>
        <v>N G Garments</v>
      </c>
    </row>
    <row r="27" spans="1:13" ht="32" x14ac:dyDescent="0.2">
      <c r="A27" s="2">
        <v>26</v>
      </c>
      <c r="B27" s="2">
        <v>3</v>
      </c>
      <c r="C27" s="2" t="s">
        <v>43</v>
      </c>
      <c r="D27" s="2" t="s">
        <v>71</v>
      </c>
      <c r="E27" s="2" t="s">
        <v>7</v>
      </c>
      <c r="F27" s="2" t="s">
        <v>6</v>
      </c>
      <c r="G27" s="2" t="s">
        <v>44</v>
      </c>
      <c r="H27" s="23">
        <v>655</v>
      </c>
      <c r="I27" s="6">
        <v>855</v>
      </c>
      <c r="J27" s="1" t="s">
        <v>163</v>
      </c>
      <c r="K27" s="6">
        <v>655</v>
      </c>
      <c r="L27" s="50" t="s">
        <v>333</v>
      </c>
      <c r="M27" s="70" t="str">
        <f>VLOOKUP(Table3[[#This Row],[Shop Name]],seller!A:A,1,0)</f>
        <v>N G Garments</v>
      </c>
    </row>
    <row r="28" spans="1:13" ht="32" x14ac:dyDescent="0.2">
      <c r="A28" s="2">
        <v>27</v>
      </c>
      <c r="B28" s="2" t="s">
        <v>804</v>
      </c>
      <c r="C28" s="2" t="s">
        <v>43</v>
      </c>
      <c r="D28" s="2" t="s">
        <v>79</v>
      </c>
      <c r="E28" s="2" t="s">
        <v>7</v>
      </c>
      <c r="F28" s="2" t="s">
        <v>6</v>
      </c>
      <c r="G28" s="2" t="s">
        <v>48</v>
      </c>
      <c r="H28" s="23">
        <v>655</v>
      </c>
      <c r="I28" s="6">
        <v>855</v>
      </c>
      <c r="J28" s="1" t="s">
        <v>163</v>
      </c>
      <c r="K28" s="6">
        <v>780</v>
      </c>
      <c r="L28" s="24" t="s">
        <v>806</v>
      </c>
      <c r="M28" s="70" t="str">
        <f>VLOOKUP(Table3[[#This Row],[Shop Name]],seller!A:A,1,0)</f>
        <v>N G Garments</v>
      </c>
    </row>
    <row r="29" spans="1:13" ht="32" x14ac:dyDescent="0.2">
      <c r="A29" s="2">
        <v>28</v>
      </c>
      <c r="B29" s="2">
        <v>3</v>
      </c>
      <c r="C29" s="2" t="s">
        <v>43</v>
      </c>
      <c r="D29" s="2" t="s">
        <v>79</v>
      </c>
      <c r="E29" s="2" t="s">
        <v>7</v>
      </c>
      <c r="F29" s="2" t="s">
        <v>6</v>
      </c>
      <c r="G29" s="2" t="s">
        <v>54</v>
      </c>
      <c r="H29" s="23">
        <v>655</v>
      </c>
      <c r="I29" s="6">
        <v>855</v>
      </c>
      <c r="J29" s="1" t="s">
        <v>163</v>
      </c>
      <c r="K29" s="6">
        <v>800</v>
      </c>
      <c r="L29" s="50" t="s">
        <v>327</v>
      </c>
      <c r="M29" s="70" t="str">
        <f>VLOOKUP(Table3[[#This Row],[Shop Name]],seller!A:A,1,0)</f>
        <v>N G Garments</v>
      </c>
    </row>
    <row r="30" spans="1:13" ht="32" x14ac:dyDescent="0.2">
      <c r="A30" s="2">
        <v>29</v>
      </c>
      <c r="B30" s="2">
        <v>3</v>
      </c>
      <c r="C30" s="2" t="s">
        <v>43</v>
      </c>
      <c r="D30" s="2" t="s">
        <v>174</v>
      </c>
      <c r="E30" s="2" t="s">
        <v>7</v>
      </c>
      <c r="F30" s="2" t="s">
        <v>6</v>
      </c>
      <c r="G30" s="2" t="s">
        <v>44</v>
      </c>
      <c r="H30" s="23">
        <v>655</v>
      </c>
      <c r="I30" s="6">
        <v>855</v>
      </c>
      <c r="J30" s="1" t="s">
        <v>163</v>
      </c>
      <c r="K30" s="6">
        <v>800</v>
      </c>
      <c r="L30" s="51" t="s">
        <v>175</v>
      </c>
      <c r="M30" s="70" t="str">
        <f>VLOOKUP(Table3[[#This Row],[Shop Name]],seller!A:A,1,0)</f>
        <v>N G Garments</v>
      </c>
    </row>
    <row r="31" spans="1:13" x14ac:dyDescent="0.2">
      <c r="A31" s="2">
        <v>30</v>
      </c>
      <c r="B31" s="2">
        <v>4</v>
      </c>
      <c r="C31" s="2" t="s">
        <v>50</v>
      </c>
      <c r="D31" s="2" t="s">
        <v>72</v>
      </c>
      <c r="E31" s="2" t="s">
        <v>7</v>
      </c>
      <c r="F31" s="2" t="s">
        <v>6</v>
      </c>
      <c r="G31" s="2" t="s">
        <v>48</v>
      </c>
      <c r="H31" s="23">
        <v>750</v>
      </c>
      <c r="I31" s="6">
        <v>950</v>
      </c>
      <c r="J31" s="1" t="s">
        <v>163</v>
      </c>
      <c r="K31" s="6">
        <v>880</v>
      </c>
      <c r="L31" s="50" t="s">
        <v>551</v>
      </c>
      <c r="M31" s="70" t="str">
        <f>VLOOKUP(Table3[[#This Row],[Shop Name]],seller!A:A,1,0)</f>
        <v>N G Garments</v>
      </c>
    </row>
    <row r="32" spans="1:13" x14ac:dyDescent="0.2">
      <c r="A32" s="2">
        <v>31</v>
      </c>
      <c r="B32" s="2">
        <v>4</v>
      </c>
      <c r="C32" s="2" t="s">
        <v>50</v>
      </c>
      <c r="D32" s="2" t="s">
        <v>72</v>
      </c>
      <c r="E32" s="2" t="s">
        <v>7</v>
      </c>
      <c r="F32" s="2" t="s">
        <v>6</v>
      </c>
      <c r="G32" s="2" t="s">
        <v>54</v>
      </c>
      <c r="H32" s="23">
        <v>750</v>
      </c>
      <c r="I32" s="6">
        <v>950</v>
      </c>
      <c r="J32" s="1" t="s">
        <v>163</v>
      </c>
      <c r="K32" s="6">
        <v>950</v>
      </c>
      <c r="L32" s="51" t="s">
        <v>176</v>
      </c>
      <c r="M32" s="70" t="str">
        <f>VLOOKUP(Table3[[#This Row],[Shop Name]],seller!A:A,1,0)</f>
        <v>N G Garments</v>
      </c>
    </row>
    <row r="33" spans="1:13" x14ac:dyDescent="0.2">
      <c r="A33" s="2">
        <v>32</v>
      </c>
      <c r="B33" s="2">
        <v>4</v>
      </c>
      <c r="C33" s="2" t="s">
        <v>50</v>
      </c>
      <c r="D33" s="2" t="s">
        <v>72</v>
      </c>
      <c r="E33" s="2" t="s">
        <v>7</v>
      </c>
      <c r="F33" s="2" t="s">
        <v>6</v>
      </c>
      <c r="G33" s="2" t="s">
        <v>44</v>
      </c>
      <c r="H33" s="23">
        <v>750</v>
      </c>
      <c r="I33" s="6">
        <v>950</v>
      </c>
      <c r="J33" s="1" t="s">
        <v>163</v>
      </c>
      <c r="K33" s="6">
        <v>750</v>
      </c>
      <c r="L33" s="1" t="s">
        <v>177</v>
      </c>
      <c r="M33" s="70" t="str">
        <f>VLOOKUP(Table3[[#This Row],[Shop Name]],seller!A:A,1,0)</f>
        <v>N G Garments</v>
      </c>
    </row>
    <row r="34" spans="1:13" x14ac:dyDescent="0.2">
      <c r="A34" s="2">
        <v>33</v>
      </c>
      <c r="B34" s="2">
        <v>4</v>
      </c>
      <c r="C34" s="2" t="s">
        <v>50</v>
      </c>
      <c r="D34" s="2" t="s">
        <v>72</v>
      </c>
      <c r="E34" s="2" t="s">
        <v>7</v>
      </c>
      <c r="F34" s="2" t="s">
        <v>6</v>
      </c>
      <c r="G34" s="2" t="s">
        <v>49</v>
      </c>
      <c r="H34" s="23">
        <v>750</v>
      </c>
      <c r="I34" s="6">
        <v>950</v>
      </c>
      <c r="J34" s="1" t="s">
        <v>163</v>
      </c>
      <c r="K34" s="6">
        <v>750</v>
      </c>
      <c r="L34" s="1" t="s">
        <v>450</v>
      </c>
      <c r="M34" s="70" t="str">
        <f>VLOOKUP(Table3[[#This Row],[Shop Name]],seller!A:A,1,0)</f>
        <v>N G Garments</v>
      </c>
    </row>
    <row r="35" spans="1:13" x14ac:dyDescent="0.2">
      <c r="A35" s="2">
        <v>34</v>
      </c>
      <c r="B35" s="2">
        <v>4</v>
      </c>
      <c r="C35" s="2" t="s">
        <v>50</v>
      </c>
      <c r="D35" s="2" t="s">
        <v>73</v>
      </c>
      <c r="E35" s="2" t="s">
        <v>7</v>
      </c>
      <c r="F35" s="2" t="s">
        <v>6</v>
      </c>
      <c r="G35" s="2" t="s">
        <v>48</v>
      </c>
      <c r="H35" s="23">
        <v>750</v>
      </c>
      <c r="I35" s="6">
        <v>950</v>
      </c>
      <c r="J35" s="1" t="s">
        <v>163</v>
      </c>
      <c r="K35" s="6">
        <v>880</v>
      </c>
      <c r="L35" s="50" t="s">
        <v>552</v>
      </c>
      <c r="M35" s="70" t="str">
        <f>VLOOKUP(Table3[[#This Row],[Shop Name]],seller!A:A,1,0)</f>
        <v>N G Garments</v>
      </c>
    </row>
    <row r="36" spans="1:13" x14ac:dyDescent="0.2">
      <c r="A36" s="2">
        <v>35</v>
      </c>
      <c r="B36" s="2">
        <v>4</v>
      </c>
      <c r="C36" s="2" t="s">
        <v>50</v>
      </c>
      <c r="D36" s="2" t="s">
        <v>73</v>
      </c>
      <c r="E36" s="2" t="s">
        <v>7</v>
      </c>
      <c r="F36" s="2" t="s">
        <v>6</v>
      </c>
      <c r="G36" s="2" t="s">
        <v>54</v>
      </c>
      <c r="H36" s="23">
        <v>750</v>
      </c>
      <c r="I36" s="6">
        <v>950</v>
      </c>
      <c r="J36" s="1" t="s">
        <v>163</v>
      </c>
      <c r="K36" s="6">
        <v>750</v>
      </c>
      <c r="L36" s="50" t="s">
        <v>186</v>
      </c>
      <c r="M36" s="70" t="str">
        <f>VLOOKUP(Table3[[#This Row],[Shop Name]],seller!A:A,1,0)</f>
        <v>N G Garments</v>
      </c>
    </row>
    <row r="37" spans="1:13" ht="32" x14ac:dyDescent="0.2">
      <c r="A37" s="2">
        <v>36</v>
      </c>
      <c r="B37" s="2" t="s">
        <v>885</v>
      </c>
      <c r="C37" s="2" t="s">
        <v>50</v>
      </c>
      <c r="D37" s="2" t="s">
        <v>73</v>
      </c>
      <c r="E37" s="2" t="s">
        <v>7</v>
      </c>
      <c r="F37" s="2" t="s">
        <v>6</v>
      </c>
      <c r="G37" s="2" t="s">
        <v>44</v>
      </c>
      <c r="H37" s="23">
        <v>750</v>
      </c>
      <c r="I37" s="6">
        <v>950</v>
      </c>
      <c r="J37" s="1" t="s">
        <v>163</v>
      </c>
      <c r="K37" s="6">
        <v>900</v>
      </c>
      <c r="L37" s="24" t="s">
        <v>892</v>
      </c>
      <c r="M37" s="70" t="str">
        <f>VLOOKUP(Table3[[#This Row],[Shop Name]],seller!A:A,1,0)</f>
        <v>N G Garments</v>
      </c>
    </row>
    <row r="38" spans="1:13" x14ac:dyDescent="0.2">
      <c r="A38" s="2">
        <v>37</v>
      </c>
      <c r="B38" s="2">
        <v>4</v>
      </c>
      <c r="C38" s="2" t="s">
        <v>50</v>
      </c>
      <c r="D38" s="2" t="s">
        <v>73</v>
      </c>
      <c r="E38" s="2" t="s">
        <v>7</v>
      </c>
      <c r="F38" s="2" t="s">
        <v>6</v>
      </c>
      <c r="G38" s="2" t="s">
        <v>49</v>
      </c>
      <c r="H38" s="23">
        <v>750</v>
      </c>
      <c r="I38" s="6">
        <v>950</v>
      </c>
      <c r="J38" s="1" t="s">
        <v>127</v>
      </c>
      <c r="K38" s="6">
        <v>0</v>
      </c>
      <c r="M38" s="70" t="str">
        <f>VLOOKUP(Table3[[#This Row],[Shop Name]],seller!A:A,1,0)</f>
        <v>N G Garments</v>
      </c>
    </row>
    <row r="39" spans="1:13" ht="32" x14ac:dyDescent="0.2">
      <c r="A39" s="2">
        <v>38</v>
      </c>
      <c r="B39" s="2" t="s">
        <v>783</v>
      </c>
      <c r="C39" s="2" t="s">
        <v>50</v>
      </c>
      <c r="D39" s="2" t="s">
        <v>80</v>
      </c>
      <c r="E39" s="2" t="s">
        <v>7</v>
      </c>
      <c r="F39" s="2" t="s">
        <v>11</v>
      </c>
      <c r="G39" s="2" t="s">
        <v>48</v>
      </c>
      <c r="H39" s="23">
        <v>595</v>
      </c>
      <c r="I39" s="6">
        <v>795</v>
      </c>
      <c r="J39" s="1" t="s">
        <v>163</v>
      </c>
      <c r="K39" s="6">
        <v>750</v>
      </c>
      <c r="L39" s="1" t="s">
        <v>793</v>
      </c>
      <c r="M39" s="70" t="str">
        <f>VLOOKUP(Table3[[#This Row],[Shop Name]],seller!A:A,1,0)</f>
        <v>Soma Collection</v>
      </c>
    </row>
    <row r="40" spans="1:13" x14ac:dyDescent="0.2">
      <c r="A40" s="2">
        <v>39</v>
      </c>
      <c r="B40" s="2">
        <v>7</v>
      </c>
      <c r="C40" s="2" t="s">
        <v>50</v>
      </c>
      <c r="D40" s="2" t="s">
        <v>80</v>
      </c>
      <c r="E40" s="2" t="s">
        <v>7</v>
      </c>
      <c r="F40" s="2" t="s">
        <v>11</v>
      </c>
      <c r="G40" s="2" t="s">
        <v>54</v>
      </c>
      <c r="H40" s="23">
        <v>595</v>
      </c>
      <c r="I40" s="6">
        <v>795</v>
      </c>
      <c r="J40" s="1" t="s">
        <v>163</v>
      </c>
      <c r="K40" s="6">
        <v>795</v>
      </c>
      <c r="L40" s="51" t="s">
        <v>176</v>
      </c>
      <c r="M40" s="70" t="str">
        <f>VLOOKUP(Table3[[#This Row],[Shop Name]],seller!A:A,1,0)</f>
        <v>Soma Collection</v>
      </c>
    </row>
    <row r="41" spans="1:13" x14ac:dyDescent="0.2">
      <c r="A41" s="2">
        <v>40</v>
      </c>
      <c r="B41" s="2">
        <v>7</v>
      </c>
      <c r="C41" s="2" t="s">
        <v>50</v>
      </c>
      <c r="D41" s="2" t="s">
        <v>80</v>
      </c>
      <c r="E41" s="2" t="s">
        <v>7</v>
      </c>
      <c r="F41" s="2" t="s">
        <v>11</v>
      </c>
      <c r="G41" s="2" t="s">
        <v>44</v>
      </c>
      <c r="H41" s="23">
        <v>595</v>
      </c>
      <c r="I41" s="6">
        <v>795</v>
      </c>
      <c r="J41" s="1" t="s">
        <v>163</v>
      </c>
      <c r="K41" s="6">
        <v>595</v>
      </c>
      <c r="L41" s="50" t="s">
        <v>333</v>
      </c>
      <c r="M41" s="70" t="str">
        <f>VLOOKUP(Table3[[#This Row],[Shop Name]],seller!A:A,1,0)</f>
        <v>Soma Collection</v>
      </c>
    </row>
    <row r="42" spans="1:13" ht="32" x14ac:dyDescent="0.2">
      <c r="A42" s="2">
        <v>41</v>
      </c>
      <c r="B42" s="2" t="s">
        <v>783</v>
      </c>
      <c r="C42" s="2" t="s">
        <v>50</v>
      </c>
      <c r="D42" s="2" t="s">
        <v>80</v>
      </c>
      <c r="E42" s="2" t="s">
        <v>7</v>
      </c>
      <c r="F42" s="2" t="s">
        <v>11</v>
      </c>
      <c r="G42" s="2" t="s">
        <v>49</v>
      </c>
      <c r="H42" s="23">
        <v>595</v>
      </c>
      <c r="I42" s="6">
        <v>795</v>
      </c>
      <c r="J42" s="1" t="s">
        <v>163</v>
      </c>
      <c r="K42" s="6">
        <v>700</v>
      </c>
      <c r="L42" s="1" t="s">
        <v>559</v>
      </c>
      <c r="M42" s="70" t="str">
        <f>VLOOKUP(Table3[[#This Row],[Shop Name]],seller!A:A,1,0)</f>
        <v>Soma Collection</v>
      </c>
    </row>
    <row r="43" spans="1:13" x14ac:dyDescent="0.2">
      <c r="A43" s="2">
        <v>42</v>
      </c>
      <c r="B43" s="2">
        <v>3</v>
      </c>
      <c r="C43" s="2" t="s">
        <v>43</v>
      </c>
      <c r="D43" s="2" t="s">
        <v>81</v>
      </c>
      <c r="E43" s="2" t="s">
        <v>51</v>
      </c>
      <c r="F43" s="2" t="s">
        <v>11</v>
      </c>
      <c r="G43" s="2" t="s">
        <v>49</v>
      </c>
      <c r="H43" s="23">
        <v>695</v>
      </c>
      <c r="I43" s="6">
        <v>895</v>
      </c>
      <c r="J43" s="1" t="s">
        <v>163</v>
      </c>
      <c r="K43" s="6">
        <v>695</v>
      </c>
      <c r="L43" s="50" t="s">
        <v>177</v>
      </c>
      <c r="M43" s="70" t="str">
        <f>VLOOKUP(Table3[[#This Row],[Shop Name]],seller!A:A,1,0)</f>
        <v>Soma Collection</v>
      </c>
    </row>
    <row r="44" spans="1:13" x14ac:dyDescent="0.2">
      <c r="A44" s="2">
        <v>43</v>
      </c>
      <c r="B44" s="2">
        <v>3</v>
      </c>
      <c r="C44" s="2" t="s">
        <v>43</v>
      </c>
      <c r="D44" s="2" t="s">
        <v>81</v>
      </c>
      <c r="E44" s="2" t="s">
        <v>51</v>
      </c>
      <c r="F44" s="2" t="s">
        <v>11</v>
      </c>
      <c r="G44" s="2" t="s">
        <v>49</v>
      </c>
      <c r="H44" s="23">
        <v>695</v>
      </c>
      <c r="I44" s="6">
        <v>895</v>
      </c>
      <c r="J44" s="1" t="s">
        <v>127</v>
      </c>
      <c r="K44" s="6">
        <v>0</v>
      </c>
      <c r="M44" s="70" t="str">
        <f>VLOOKUP(Table3[[#This Row],[Shop Name]],seller!A:A,1,0)</f>
        <v>Soma Collection</v>
      </c>
    </row>
    <row r="45" spans="1:13" x14ac:dyDescent="0.2">
      <c r="A45" s="2">
        <v>44</v>
      </c>
      <c r="B45" s="2">
        <v>6</v>
      </c>
      <c r="C45" s="2" t="s">
        <v>43</v>
      </c>
      <c r="D45" s="2" t="s">
        <v>178</v>
      </c>
      <c r="E45" s="2" t="s">
        <v>51</v>
      </c>
      <c r="F45" s="2" t="s">
        <v>11</v>
      </c>
      <c r="G45" s="2" t="s">
        <v>74</v>
      </c>
      <c r="H45" s="23">
        <v>550</v>
      </c>
      <c r="I45" s="6">
        <v>750</v>
      </c>
      <c r="J45" s="1" t="s">
        <v>163</v>
      </c>
      <c r="K45" s="6">
        <v>650</v>
      </c>
      <c r="L45" s="50" t="s">
        <v>275</v>
      </c>
      <c r="M45" s="70" t="str">
        <f>VLOOKUP(Table3[[#This Row],[Shop Name]],seller!A:A,1,0)</f>
        <v>Soma Collection</v>
      </c>
    </row>
    <row r="46" spans="1:13" x14ac:dyDescent="0.2">
      <c r="A46" s="2">
        <v>45</v>
      </c>
      <c r="B46" s="2">
        <v>6</v>
      </c>
      <c r="C46" s="2" t="s">
        <v>43</v>
      </c>
      <c r="D46" s="2" t="s">
        <v>179</v>
      </c>
      <c r="E46" s="2" t="s">
        <v>51</v>
      </c>
      <c r="F46" s="2" t="s">
        <v>11</v>
      </c>
      <c r="G46" s="2" t="s">
        <v>74</v>
      </c>
      <c r="H46" s="23">
        <v>550</v>
      </c>
      <c r="I46" s="6">
        <v>750</v>
      </c>
      <c r="J46" s="1" t="s">
        <v>163</v>
      </c>
      <c r="K46" s="6">
        <v>550</v>
      </c>
      <c r="L46" s="50" t="s">
        <v>177</v>
      </c>
      <c r="M46" s="70" t="str">
        <f>VLOOKUP(Table3[[#This Row],[Shop Name]],seller!A:A,1,0)</f>
        <v>Soma Collection</v>
      </c>
    </row>
    <row r="47" spans="1:13" s="35" customFormat="1" x14ac:dyDescent="0.2">
      <c r="A47" s="22">
        <v>46</v>
      </c>
      <c r="B47" s="22" t="s">
        <v>687</v>
      </c>
      <c r="C47" s="22" t="s">
        <v>53</v>
      </c>
      <c r="D47" s="22" t="s">
        <v>82</v>
      </c>
      <c r="E47" s="22" t="s">
        <v>7</v>
      </c>
      <c r="F47" s="22" t="s">
        <v>75</v>
      </c>
      <c r="G47" s="22" t="s">
        <v>54</v>
      </c>
      <c r="H47" s="23">
        <v>0</v>
      </c>
      <c r="I47" s="23">
        <v>775</v>
      </c>
      <c r="J47" s="24" t="s">
        <v>163</v>
      </c>
      <c r="K47" s="23">
        <v>708</v>
      </c>
      <c r="L47" s="24" t="s">
        <v>700</v>
      </c>
      <c r="M47" s="70" t="str">
        <f>VLOOKUP(Table3[[#This Row],[Shop Name]],seller!A:A,1,0)</f>
        <v>Rudra Fashion</v>
      </c>
    </row>
    <row r="48" spans="1:13" x14ac:dyDescent="0.2">
      <c r="A48" s="2">
        <v>47</v>
      </c>
      <c r="B48" s="2" t="s">
        <v>52</v>
      </c>
      <c r="C48" s="2" t="s">
        <v>53</v>
      </c>
      <c r="D48" s="2" t="s">
        <v>82</v>
      </c>
      <c r="E48" s="2" t="s">
        <v>7</v>
      </c>
      <c r="F48" s="2" t="s">
        <v>75</v>
      </c>
      <c r="G48" s="2" t="s">
        <v>56</v>
      </c>
      <c r="H48" s="23">
        <v>575</v>
      </c>
      <c r="I48" s="6">
        <v>775</v>
      </c>
      <c r="J48" s="1" t="s">
        <v>163</v>
      </c>
      <c r="K48" s="6">
        <v>720</v>
      </c>
      <c r="L48" s="50" t="s">
        <v>180</v>
      </c>
      <c r="M48" s="70" t="str">
        <f>VLOOKUP(Table3[[#This Row],[Shop Name]],seller!A:A,1,0)</f>
        <v>Rudra Fashion</v>
      </c>
    </row>
    <row r="49" spans="1:13" x14ac:dyDescent="0.2">
      <c r="A49" s="2">
        <v>48</v>
      </c>
      <c r="B49" s="2" t="s">
        <v>687</v>
      </c>
      <c r="C49" s="2" t="s">
        <v>50</v>
      </c>
      <c r="D49" s="2" t="s">
        <v>83</v>
      </c>
      <c r="E49" s="2" t="s">
        <v>7</v>
      </c>
      <c r="F49" s="2" t="s">
        <v>75</v>
      </c>
      <c r="G49" s="2" t="s">
        <v>48</v>
      </c>
      <c r="H49" s="23">
        <v>575</v>
      </c>
      <c r="I49" s="6">
        <v>775</v>
      </c>
      <c r="J49" s="1" t="s">
        <v>163</v>
      </c>
      <c r="K49" s="6">
        <v>708</v>
      </c>
      <c r="L49" s="24" t="s">
        <v>700</v>
      </c>
      <c r="M49" s="70" t="str">
        <f>VLOOKUP(Table3[[#This Row],[Shop Name]],seller!A:A,1,0)</f>
        <v>Rudra Fashion</v>
      </c>
    </row>
    <row r="50" spans="1:13" x14ac:dyDescent="0.2">
      <c r="A50" s="2">
        <v>49</v>
      </c>
      <c r="B50" s="2" t="s">
        <v>52</v>
      </c>
      <c r="C50" s="2" t="s">
        <v>50</v>
      </c>
      <c r="D50" s="2" t="s">
        <v>84</v>
      </c>
      <c r="E50" s="2" t="s">
        <v>7</v>
      </c>
      <c r="F50" s="2" t="s">
        <v>11</v>
      </c>
      <c r="G50" s="2" t="s">
        <v>54</v>
      </c>
      <c r="H50" s="23">
        <v>570</v>
      </c>
      <c r="I50" s="6">
        <v>770</v>
      </c>
      <c r="J50" s="1" t="s">
        <v>163</v>
      </c>
      <c r="K50" s="6">
        <v>700</v>
      </c>
      <c r="L50" s="52" t="s">
        <v>561</v>
      </c>
      <c r="M50" s="70" t="str">
        <f>VLOOKUP(Table3[[#This Row],[Shop Name]],seller!A:A,1,0)</f>
        <v>Soma Collection</v>
      </c>
    </row>
    <row r="51" spans="1:13" x14ac:dyDescent="0.2">
      <c r="A51" s="2">
        <v>50</v>
      </c>
      <c r="B51" s="2" t="s">
        <v>52</v>
      </c>
      <c r="C51" s="2" t="s">
        <v>50</v>
      </c>
      <c r="D51" s="2" t="s">
        <v>84</v>
      </c>
      <c r="E51" s="2" t="s">
        <v>7</v>
      </c>
      <c r="F51" s="2" t="s">
        <v>11</v>
      </c>
      <c r="G51" s="2" t="s">
        <v>48</v>
      </c>
      <c r="H51" s="23">
        <v>570</v>
      </c>
      <c r="I51" s="6">
        <v>770</v>
      </c>
      <c r="J51" s="1" t="s">
        <v>163</v>
      </c>
      <c r="K51" s="6">
        <v>750</v>
      </c>
      <c r="L51" s="50" t="s">
        <v>436</v>
      </c>
      <c r="M51" s="70" t="str">
        <f>VLOOKUP(Table3[[#This Row],[Shop Name]],seller!A:A,1,0)</f>
        <v>Soma Collection</v>
      </c>
    </row>
    <row r="52" spans="1:13" x14ac:dyDescent="0.2">
      <c r="A52" s="2">
        <v>51</v>
      </c>
      <c r="B52" s="2" t="s">
        <v>52</v>
      </c>
      <c r="C52" s="2" t="s">
        <v>50</v>
      </c>
      <c r="D52" s="2" t="s">
        <v>85</v>
      </c>
      <c r="E52" s="2" t="s">
        <v>7</v>
      </c>
      <c r="F52" s="2" t="s">
        <v>11</v>
      </c>
      <c r="G52" s="2" t="s">
        <v>54</v>
      </c>
      <c r="H52" s="23">
        <v>570</v>
      </c>
      <c r="I52" s="6">
        <v>770</v>
      </c>
      <c r="J52" s="1" t="s">
        <v>163</v>
      </c>
      <c r="K52" s="6">
        <v>700</v>
      </c>
      <c r="L52" s="50" t="s">
        <v>500</v>
      </c>
      <c r="M52" s="70" t="str">
        <f>VLOOKUP(Table3[[#This Row],[Shop Name]],seller!A:A,1,0)</f>
        <v>Soma Collection</v>
      </c>
    </row>
    <row r="53" spans="1:13" x14ac:dyDescent="0.2">
      <c r="A53" s="2">
        <v>52</v>
      </c>
      <c r="B53" s="2" t="s">
        <v>52</v>
      </c>
      <c r="C53" s="2" t="s">
        <v>50</v>
      </c>
      <c r="D53" s="2" t="s">
        <v>86</v>
      </c>
      <c r="E53" s="2" t="s">
        <v>7</v>
      </c>
      <c r="F53" s="2" t="s">
        <v>11</v>
      </c>
      <c r="G53" s="2" t="s">
        <v>48</v>
      </c>
      <c r="H53" s="23">
        <v>570</v>
      </c>
      <c r="I53" s="6">
        <v>770</v>
      </c>
      <c r="J53" s="1" t="s">
        <v>163</v>
      </c>
      <c r="K53" s="6">
        <v>750</v>
      </c>
      <c r="L53" s="52" t="s">
        <v>182</v>
      </c>
      <c r="M53" s="70" t="str">
        <f>VLOOKUP(Table3[[#This Row],[Shop Name]],seller!A:A,1,0)</f>
        <v>Soma Collection</v>
      </c>
    </row>
    <row r="54" spans="1:13" x14ac:dyDescent="0.2">
      <c r="A54" s="2">
        <v>53</v>
      </c>
      <c r="B54" s="2" t="s">
        <v>52</v>
      </c>
      <c r="C54" s="2" t="s">
        <v>50</v>
      </c>
      <c r="D54" s="2" t="s">
        <v>86</v>
      </c>
      <c r="E54" s="2" t="s">
        <v>7</v>
      </c>
      <c r="F54" s="2" t="s">
        <v>11</v>
      </c>
      <c r="G54" s="2" t="s">
        <v>54</v>
      </c>
      <c r="H54" s="23">
        <v>570</v>
      </c>
      <c r="I54" s="6">
        <v>770</v>
      </c>
      <c r="J54" s="1" t="s">
        <v>163</v>
      </c>
      <c r="K54" s="6">
        <v>750</v>
      </c>
      <c r="L54" s="50" t="s">
        <v>270</v>
      </c>
      <c r="M54" s="70" t="str">
        <f>VLOOKUP(Table3[[#This Row],[Shop Name]],seller!A:A,1,0)</f>
        <v>Soma Collection</v>
      </c>
    </row>
    <row r="55" spans="1:13" x14ac:dyDescent="0.2">
      <c r="A55" s="2">
        <v>54</v>
      </c>
      <c r="B55" s="2" t="s">
        <v>954</v>
      </c>
      <c r="C55" s="2" t="s">
        <v>50</v>
      </c>
      <c r="D55" s="2" t="s">
        <v>183</v>
      </c>
      <c r="E55" s="2" t="s">
        <v>7</v>
      </c>
      <c r="F55" s="2" t="s">
        <v>75</v>
      </c>
      <c r="G55" s="2" t="s">
        <v>54</v>
      </c>
      <c r="H55" s="23">
        <v>575</v>
      </c>
      <c r="I55" s="6">
        <v>775</v>
      </c>
      <c r="J55" s="1" t="s">
        <v>163</v>
      </c>
      <c r="K55" s="6">
        <v>700</v>
      </c>
      <c r="L55" s="1" t="s">
        <v>955</v>
      </c>
      <c r="M55" s="70" t="str">
        <f>VLOOKUP(Table3[[#This Row],[Shop Name]],seller!A:A,1,0)</f>
        <v>Rudra Fashion</v>
      </c>
    </row>
    <row r="56" spans="1:13" x14ac:dyDescent="0.2">
      <c r="A56" s="2">
        <v>55</v>
      </c>
      <c r="B56" s="2" t="s">
        <v>52</v>
      </c>
      <c r="C56" s="2" t="s">
        <v>50</v>
      </c>
      <c r="D56" s="2" t="s">
        <v>183</v>
      </c>
      <c r="E56" s="2" t="s">
        <v>7</v>
      </c>
      <c r="F56" s="2" t="s">
        <v>75</v>
      </c>
      <c r="G56" s="2" t="s">
        <v>44</v>
      </c>
      <c r="H56" s="23">
        <v>575</v>
      </c>
      <c r="I56" s="6">
        <v>775</v>
      </c>
      <c r="J56" s="1" t="s">
        <v>127</v>
      </c>
      <c r="K56" s="6">
        <v>0</v>
      </c>
      <c r="M56" s="70" t="str">
        <f>VLOOKUP(Table3[[#This Row],[Shop Name]],seller!A:A,1,0)</f>
        <v>Rudra Fashion</v>
      </c>
    </row>
    <row r="57" spans="1:13" x14ac:dyDescent="0.2">
      <c r="A57" s="2">
        <v>56</v>
      </c>
      <c r="B57" s="2" t="s">
        <v>52</v>
      </c>
      <c r="C57" s="2" t="s">
        <v>55</v>
      </c>
      <c r="D57" s="2" t="s">
        <v>87</v>
      </c>
      <c r="E57" s="2" t="s">
        <v>7</v>
      </c>
      <c r="F57" s="2" t="s">
        <v>75</v>
      </c>
      <c r="G57" s="2" t="s">
        <v>54</v>
      </c>
      <c r="H57" s="23">
        <v>145</v>
      </c>
      <c r="I57" s="6">
        <v>345</v>
      </c>
      <c r="J57" s="1" t="s">
        <v>127</v>
      </c>
      <c r="K57" s="6">
        <v>0</v>
      </c>
      <c r="M57" s="70" t="str">
        <f>VLOOKUP(Table3[[#This Row],[Shop Name]],seller!A:A,1,0)</f>
        <v>Rudra Fashion</v>
      </c>
    </row>
    <row r="58" spans="1:13" x14ac:dyDescent="0.2">
      <c r="A58" s="2">
        <v>57</v>
      </c>
      <c r="B58" s="2" t="s">
        <v>52</v>
      </c>
      <c r="C58" s="2" t="s">
        <v>55</v>
      </c>
      <c r="D58" s="2" t="s">
        <v>88</v>
      </c>
      <c r="E58" s="2" t="s">
        <v>7</v>
      </c>
      <c r="F58" s="2" t="s">
        <v>75</v>
      </c>
      <c r="G58" s="2" t="s">
        <v>44</v>
      </c>
      <c r="H58" s="23">
        <v>145</v>
      </c>
      <c r="I58" s="6">
        <v>345</v>
      </c>
      <c r="J58" s="1" t="s">
        <v>163</v>
      </c>
      <c r="K58" s="6">
        <v>300</v>
      </c>
      <c r="L58" s="50" t="s">
        <v>550</v>
      </c>
      <c r="M58" s="70" t="str">
        <f>VLOOKUP(Table3[[#This Row],[Shop Name]],seller!A:A,1,0)</f>
        <v>Rudra Fashion</v>
      </c>
    </row>
    <row r="59" spans="1:13" x14ac:dyDescent="0.2">
      <c r="A59" s="2">
        <v>58</v>
      </c>
      <c r="B59" s="2" t="s">
        <v>52</v>
      </c>
      <c r="C59" s="2" t="s">
        <v>55</v>
      </c>
      <c r="D59" s="2" t="s">
        <v>89</v>
      </c>
      <c r="E59" s="2" t="s">
        <v>7</v>
      </c>
      <c r="F59" s="2" t="s">
        <v>75</v>
      </c>
      <c r="G59" s="2" t="s">
        <v>44</v>
      </c>
      <c r="H59" s="23">
        <v>145</v>
      </c>
      <c r="I59" s="6">
        <v>345</v>
      </c>
      <c r="J59" s="1" t="s">
        <v>127</v>
      </c>
      <c r="K59" s="6">
        <v>0</v>
      </c>
      <c r="M59" s="70" t="str">
        <f>VLOOKUP(Table3[[#This Row],[Shop Name]],seller!A:A,1,0)</f>
        <v>Rudra Fashion</v>
      </c>
    </row>
    <row r="60" spans="1:13" x14ac:dyDescent="0.2">
      <c r="A60" s="2">
        <v>59</v>
      </c>
      <c r="B60" s="2" t="s">
        <v>52</v>
      </c>
      <c r="C60" s="2" t="s">
        <v>43</v>
      </c>
      <c r="D60" s="2" t="s">
        <v>90</v>
      </c>
      <c r="E60" s="2" t="s">
        <v>7</v>
      </c>
      <c r="F60" s="2" t="s">
        <v>75</v>
      </c>
      <c r="G60" s="2" t="s">
        <v>48</v>
      </c>
      <c r="H60" s="23">
        <v>465</v>
      </c>
      <c r="I60" s="6">
        <v>665</v>
      </c>
      <c r="J60" s="1" t="s">
        <v>163</v>
      </c>
      <c r="K60" s="6">
        <v>650</v>
      </c>
      <c r="L60" s="50" t="s">
        <v>373</v>
      </c>
      <c r="M60" s="70" t="str">
        <f>VLOOKUP(Table3[[#This Row],[Shop Name]],seller!A:A,1,0)</f>
        <v>Rudra Fashion</v>
      </c>
    </row>
    <row r="61" spans="1:13" x14ac:dyDescent="0.2">
      <c r="A61" s="2">
        <v>60</v>
      </c>
      <c r="B61" s="2" t="s">
        <v>686</v>
      </c>
      <c r="C61" s="2" t="s">
        <v>43</v>
      </c>
      <c r="D61" s="2" t="s">
        <v>91</v>
      </c>
      <c r="E61" s="2" t="s">
        <v>7</v>
      </c>
      <c r="F61" s="2" t="s">
        <v>75</v>
      </c>
      <c r="G61" s="2" t="s">
        <v>48</v>
      </c>
      <c r="H61" s="23">
        <v>465</v>
      </c>
      <c r="I61" s="6">
        <v>665</v>
      </c>
      <c r="J61" s="1" t="s">
        <v>163</v>
      </c>
      <c r="K61" s="6">
        <v>550</v>
      </c>
      <c r="L61" s="1" t="s">
        <v>697</v>
      </c>
      <c r="M61" s="70" t="str">
        <f>VLOOKUP(Table3[[#This Row],[Shop Name]],seller!A:A,1,0)</f>
        <v>Rudra Fashion</v>
      </c>
    </row>
    <row r="62" spans="1:13" x14ac:dyDescent="0.2">
      <c r="A62" s="2">
        <v>61</v>
      </c>
      <c r="B62" s="2" t="s">
        <v>52</v>
      </c>
      <c r="C62" s="2" t="s">
        <v>43</v>
      </c>
      <c r="D62" s="2" t="s">
        <v>92</v>
      </c>
      <c r="E62" s="2" t="s">
        <v>7</v>
      </c>
      <c r="F62" s="2" t="s">
        <v>75</v>
      </c>
      <c r="G62" s="2" t="s">
        <v>54</v>
      </c>
      <c r="H62" s="23">
        <v>465</v>
      </c>
      <c r="I62" s="6">
        <v>665</v>
      </c>
      <c r="J62" s="1" t="s">
        <v>163</v>
      </c>
      <c r="K62" s="6">
        <v>665</v>
      </c>
      <c r="L62" s="50" t="s">
        <v>176</v>
      </c>
      <c r="M62" s="70" t="str">
        <f>VLOOKUP(Table3[[#This Row],[Shop Name]],seller!A:A,1,0)</f>
        <v>Rudra Fashion</v>
      </c>
    </row>
    <row r="63" spans="1:13" x14ac:dyDescent="0.2">
      <c r="A63" s="2">
        <v>62</v>
      </c>
      <c r="B63" s="2" t="s">
        <v>52</v>
      </c>
      <c r="C63" s="2" t="s">
        <v>43</v>
      </c>
      <c r="D63" s="2" t="s">
        <v>92</v>
      </c>
      <c r="E63" s="2" t="s">
        <v>7</v>
      </c>
      <c r="F63" s="2" t="s">
        <v>75</v>
      </c>
      <c r="G63" s="2" t="s">
        <v>44</v>
      </c>
      <c r="H63" s="23">
        <v>465</v>
      </c>
      <c r="I63" s="6">
        <v>665</v>
      </c>
      <c r="J63" s="1" t="s">
        <v>163</v>
      </c>
      <c r="K63" s="6">
        <v>665</v>
      </c>
      <c r="L63" s="50" t="s">
        <v>184</v>
      </c>
      <c r="M63" s="70" t="str">
        <f>VLOOKUP(Table3[[#This Row],[Shop Name]],seller!A:A,1,0)</f>
        <v>Rudra Fashion</v>
      </c>
    </row>
    <row r="64" spans="1:13" x14ac:dyDescent="0.2">
      <c r="A64" s="2">
        <v>63</v>
      </c>
      <c r="B64" s="2" t="s">
        <v>52</v>
      </c>
      <c r="C64" s="2" t="s">
        <v>43</v>
      </c>
      <c r="D64" s="2" t="s">
        <v>92</v>
      </c>
      <c r="E64" s="2" t="s">
        <v>7</v>
      </c>
      <c r="F64" s="2" t="s">
        <v>75</v>
      </c>
      <c r="G64" s="2" t="s">
        <v>44</v>
      </c>
      <c r="H64" s="23">
        <v>465</v>
      </c>
      <c r="I64" s="6">
        <v>665</v>
      </c>
      <c r="J64" s="1" t="s">
        <v>163</v>
      </c>
      <c r="K64" s="7">
        <v>600</v>
      </c>
      <c r="L64" s="50" t="s">
        <v>185</v>
      </c>
      <c r="M64" s="70" t="str">
        <f>VLOOKUP(Table3[[#This Row],[Shop Name]],seller!A:A,1,0)</f>
        <v>Rudra Fashion</v>
      </c>
    </row>
    <row r="65" spans="1:13" x14ac:dyDescent="0.2">
      <c r="A65" s="2">
        <v>64</v>
      </c>
      <c r="B65" s="2" t="s">
        <v>52</v>
      </c>
      <c r="C65" s="2" t="s">
        <v>43</v>
      </c>
      <c r="D65" s="2" t="s">
        <v>92</v>
      </c>
      <c r="E65" s="2" t="s">
        <v>7</v>
      </c>
      <c r="F65" s="2" t="s">
        <v>75</v>
      </c>
      <c r="G65" s="2" t="s">
        <v>48</v>
      </c>
      <c r="H65" s="23">
        <v>465</v>
      </c>
      <c r="I65" s="6">
        <v>665</v>
      </c>
      <c r="J65" s="1" t="s">
        <v>163</v>
      </c>
      <c r="K65" s="6">
        <v>665</v>
      </c>
      <c r="L65" s="50" t="s">
        <v>186</v>
      </c>
      <c r="M65" s="70" t="str">
        <f>VLOOKUP(Table3[[#This Row],[Shop Name]],seller!A:A,1,0)</f>
        <v>Rudra Fashion</v>
      </c>
    </row>
    <row r="66" spans="1:13" x14ac:dyDescent="0.2">
      <c r="A66" s="2">
        <v>65</v>
      </c>
      <c r="B66" s="2" t="s">
        <v>52</v>
      </c>
      <c r="C66" s="2" t="s">
        <v>43</v>
      </c>
      <c r="D66" s="2" t="s">
        <v>92</v>
      </c>
      <c r="E66" s="2" t="s">
        <v>7</v>
      </c>
      <c r="F66" s="2" t="s">
        <v>75</v>
      </c>
      <c r="G66" s="2" t="s">
        <v>48</v>
      </c>
      <c r="H66" s="23">
        <v>465</v>
      </c>
      <c r="I66" s="6">
        <v>665</v>
      </c>
      <c r="J66" s="1" t="s">
        <v>163</v>
      </c>
      <c r="K66" s="6">
        <v>650</v>
      </c>
      <c r="L66" s="50" t="s">
        <v>497</v>
      </c>
      <c r="M66" s="70" t="str">
        <f>VLOOKUP(Table3[[#This Row],[Shop Name]],seller!A:A,1,0)</f>
        <v>Rudra Fashion</v>
      </c>
    </row>
    <row r="67" spans="1:13" x14ac:dyDescent="0.2">
      <c r="A67" s="2">
        <v>66</v>
      </c>
      <c r="B67" s="2" t="s">
        <v>52</v>
      </c>
      <c r="C67" s="2" t="s">
        <v>43</v>
      </c>
      <c r="D67" s="2" t="s">
        <v>93</v>
      </c>
      <c r="E67" s="2" t="s">
        <v>7</v>
      </c>
      <c r="F67" s="2" t="s">
        <v>75</v>
      </c>
      <c r="G67" s="2" t="s">
        <v>54</v>
      </c>
      <c r="H67" s="23">
        <v>415</v>
      </c>
      <c r="I67" s="6">
        <v>615</v>
      </c>
      <c r="J67" s="1" t="s">
        <v>163</v>
      </c>
      <c r="K67" s="6">
        <v>590</v>
      </c>
      <c r="L67" s="50" t="s">
        <v>328</v>
      </c>
      <c r="M67" s="70" t="str">
        <f>VLOOKUP(Table3[[#This Row],[Shop Name]],seller!A:A,1,0)</f>
        <v>Rudra Fashion</v>
      </c>
    </row>
    <row r="68" spans="1:13" ht="31" customHeight="1" x14ac:dyDescent="0.2">
      <c r="A68" s="2">
        <v>67</v>
      </c>
      <c r="B68" s="2" t="s">
        <v>52</v>
      </c>
      <c r="C68" s="2" t="s">
        <v>43</v>
      </c>
      <c r="D68" s="2" t="s">
        <v>187</v>
      </c>
      <c r="E68" s="2" t="s">
        <v>7</v>
      </c>
      <c r="F68" s="2" t="s">
        <v>11</v>
      </c>
      <c r="G68" s="2" t="s">
        <v>54</v>
      </c>
      <c r="H68" s="23">
        <v>420</v>
      </c>
      <c r="I68" s="6">
        <v>620</v>
      </c>
      <c r="J68" s="1" t="s">
        <v>163</v>
      </c>
      <c r="K68" s="6">
        <v>571</v>
      </c>
      <c r="L68" s="50" t="s">
        <v>188</v>
      </c>
      <c r="M68" s="70" t="str">
        <f>VLOOKUP(Table3[[#This Row],[Shop Name]],seller!A:A,1,0)</f>
        <v>Soma Collection</v>
      </c>
    </row>
    <row r="69" spans="1:13" x14ac:dyDescent="0.2">
      <c r="A69" s="2">
        <v>68</v>
      </c>
      <c r="B69" s="2" t="s">
        <v>52</v>
      </c>
      <c r="C69" s="2" t="s">
        <v>43</v>
      </c>
      <c r="D69" s="2" t="s">
        <v>94</v>
      </c>
      <c r="E69" s="2" t="s">
        <v>7</v>
      </c>
      <c r="F69" s="2" t="s">
        <v>11</v>
      </c>
      <c r="G69" s="2" t="s">
        <v>56</v>
      </c>
      <c r="H69" s="23">
        <v>420</v>
      </c>
      <c r="I69" s="6">
        <v>620</v>
      </c>
      <c r="J69" s="1" t="s">
        <v>163</v>
      </c>
      <c r="K69" s="6">
        <v>550</v>
      </c>
      <c r="L69" s="50" t="s">
        <v>555</v>
      </c>
      <c r="M69" s="70" t="str">
        <f>VLOOKUP(Table3[[#This Row],[Shop Name]],seller!A:A,1,0)</f>
        <v>Soma Collection</v>
      </c>
    </row>
    <row r="70" spans="1:13" ht="32" x14ac:dyDescent="0.2">
      <c r="A70" s="2">
        <v>69</v>
      </c>
      <c r="B70" s="2" t="s">
        <v>52</v>
      </c>
      <c r="C70" s="2" t="s">
        <v>46</v>
      </c>
      <c r="D70" s="2" t="s">
        <v>95</v>
      </c>
      <c r="E70" s="2" t="s">
        <v>7</v>
      </c>
      <c r="F70" s="2" t="s">
        <v>11</v>
      </c>
      <c r="G70" s="2" t="s">
        <v>48</v>
      </c>
      <c r="H70" s="23">
        <v>295</v>
      </c>
      <c r="I70" s="6">
        <v>495</v>
      </c>
      <c r="J70" s="1" t="s">
        <v>127</v>
      </c>
      <c r="K70" s="6">
        <v>0</v>
      </c>
      <c r="M70" s="70" t="str">
        <f>VLOOKUP(Table3[[#This Row],[Shop Name]],seller!A:A,1,0)</f>
        <v>Soma Collection</v>
      </c>
    </row>
    <row r="71" spans="1:13" ht="32" x14ac:dyDescent="0.2">
      <c r="A71" s="2">
        <v>70</v>
      </c>
      <c r="B71" s="2" t="s">
        <v>52</v>
      </c>
      <c r="C71" s="2" t="s">
        <v>46</v>
      </c>
      <c r="D71" s="2" t="s">
        <v>96</v>
      </c>
      <c r="E71" s="2" t="s">
        <v>7</v>
      </c>
      <c r="F71" s="2" t="s">
        <v>11</v>
      </c>
      <c r="G71" s="2" t="s">
        <v>48</v>
      </c>
      <c r="H71" s="23">
        <v>295</v>
      </c>
      <c r="I71" s="6">
        <v>495</v>
      </c>
      <c r="J71" s="1" t="s">
        <v>127</v>
      </c>
      <c r="K71" s="6">
        <v>0</v>
      </c>
      <c r="M71" s="70" t="str">
        <f>VLOOKUP(Table3[[#This Row],[Shop Name]],seller!A:A,1,0)</f>
        <v>Soma Collection</v>
      </c>
    </row>
    <row r="72" spans="1:13" ht="32" x14ac:dyDescent="0.2">
      <c r="A72" s="2">
        <v>71</v>
      </c>
      <c r="B72" s="2" t="s">
        <v>885</v>
      </c>
      <c r="C72" s="2" t="s">
        <v>46</v>
      </c>
      <c r="D72" s="2" t="s">
        <v>887</v>
      </c>
      <c r="E72" s="2" t="s">
        <v>7</v>
      </c>
      <c r="F72" s="2" t="s">
        <v>11</v>
      </c>
      <c r="G72" s="2" t="s">
        <v>56</v>
      </c>
      <c r="H72" s="23">
        <v>295</v>
      </c>
      <c r="I72" s="6">
        <v>495</v>
      </c>
      <c r="J72" s="1" t="s">
        <v>163</v>
      </c>
      <c r="K72" s="6">
        <v>450</v>
      </c>
      <c r="L72" s="24" t="s">
        <v>886</v>
      </c>
      <c r="M72" s="70" t="str">
        <f>VLOOKUP(Table3[[#This Row],[Shop Name]],seller!A:A,1,0)</f>
        <v>Soma Collection</v>
      </c>
    </row>
    <row r="73" spans="1:13" ht="32" x14ac:dyDescent="0.2">
      <c r="A73" s="2">
        <v>72</v>
      </c>
      <c r="B73" s="2" t="s">
        <v>52</v>
      </c>
      <c r="C73" s="2" t="s">
        <v>46</v>
      </c>
      <c r="D73" s="2" t="s">
        <v>97</v>
      </c>
      <c r="E73" s="2" t="s">
        <v>7</v>
      </c>
      <c r="F73" s="2" t="s">
        <v>11</v>
      </c>
      <c r="G73" s="2" t="s">
        <v>54</v>
      </c>
      <c r="H73" s="23">
        <v>295</v>
      </c>
      <c r="I73" s="6">
        <v>495</v>
      </c>
      <c r="J73" s="1" t="s">
        <v>127</v>
      </c>
      <c r="K73" s="6">
        <v>0</v>
      </c>
      <c r="M73" s="70" t="str">
        <f>VLOOKUP(Table3[[#This Row],[Shop Name]],seller!A:A,1,0)</f>
        <v>Soma Collection</v>
      </c>
    </row>
    <row r="74" spans="1:13" ht="32" x14ac:dyDescent="0.2">
      <c r="A74" s="2">
        <v>73</v>
      </c>
      <c r="B74" s="2" t="s">
        <v>52</v>
      </c>
      <c r="C74" s="2" t="s">
        <v>46</v>
      </c>
      <c r="D74" s="2" t="s">
        <v>98</v>
      </c>
      <c r="E74" s="2" t="s">
        <v>7</v>
      </c>
      <c r="F74" s="2" t="s">
        <v>11</v>
      </c>
      <c r="G74" s="2" t="s">
        <v>54</v>
      </c>
      <c r="H74" s="23">
        <v>395</v>
      </c>
      <c r="I74" s="6">
        <v>595</v>
      </c>
      <c r="J74" s="1" t="s">
        <v>163</v>
      </c>
      <c r="K74" s="6">
        <v>595</v>
      </c>
      <c r="L74" s="50" t="s">
        <v>189</v>
      </c>
      <c r="M74" s="70" t="str">
        <f>VLOOKUP(Table3[[#This Row],[Shop Name]],seller!A:A,1,0)</f>
        <v>Soma Collection</v>
      </c>
    </row>
    <row r="75" spans="1:13" ht="32" x14ac:dyDescent="0.2">
      <c r="A75" s="2">
        <v>74</v>
      </c>
      <c r="B75" s="2" t="s">
        <v>52</v>
      </c>
      <c r="C75" s="2" t="s">
        <v>46</v>
      </c>
      <c r="D75" s="2" t="s">
        <v>99</v>
      </c>
      <c r="E75" s="2" t="s">
        <v>7</v>
      </c>
      <c r="F75" s="2" t="s">
        <v>11</v>
      </c>
      <c r="G75" s="2" t="s">
        <v>48</v>
      </c>
      <c r="H75" s="23">
        <v>395</v>
      </c>
      <c r="I75" s="6">
        <v>595</v>
      </c>
      <c r="J75" s="1" t="s">
        <v>163</v>
      </c>
      <c r="K75" s="6">
        <v>300</v>
      </c>
      <c r="L75" s="50" t="s">
        <v>550</v>
      </c>
      <c r="M75" s="70" t="str">
        <f>VLOOKUP(Table3[[#This Row],[Shop Name]],seller!A:A,1,0)</f>
        <v>Soma Collection</v>
      </c>
    </row>
    <row r="76" spans="1:13" ht="32" x14ac:dyDescent="0.2">
      <c r="A76" s="2">
        <v>75</v>
      </c>
      <c r="B76" s="2" t="s">
        <v>52</v>
      </c>
      <c r="C76" s="2" t="s">
        <v>46</v>
      </c>
      <c r="D76" s="2" t="s">
        <v>99</v>
      </c>
      <c r="E76" s="2" t="s">
        <v>7</v>
      </c>
      <c r="F76" s="2" t="s">
        <v>11</v>
      </c>
      <c r="G76" s="2" t="s">
        <v>54</v>
      </c>
      <c r="H76" s="23">
        <v>395</v>
      </c>
      <c r="I76" s="6">
        <v>595</v>
      </c>
      <c r="J76" s="1" t="s">
        <v>163</v>
      </c>
      <c r="K76" s="6">
        <v>550</v>
      </c>
      <c r="L76" s="50" t="s">
        <v>515</v>
      </c>
      <c r="M76" s="70" t="str">
        <f>VLOOKUP(Table3[[#This Row],[Shop Name]],seller!A:A,1,0)</f>
        <v>Soma Collection</v>
      </c>
    </row>
    <row r="77" spans="1:13" ht="32" x14ac:dyDescent="0.2">
      <c r="A77" s="2">
        <v>76</v>
      </c>
      <c r="B77" s="2" t="s">
        <v>52</v>
      </c>
      <c r="C77" s="2" t="s">
        <v>46</v>
      </c>
      <c r="D77" s="2" t="s">
        <v>100</v>
      </c>
      <c r="E77" s="2" t="s">
        <v>7</v>
      </c>
      <c r="F77" s="2" t="s">
        <v>11</v>
      </c>
      <c r="G77" s="2" t="s">
        <v>48</v>
      </c>
      <c r="H77" s="23">
        <v>395</v>
      </c>
      <c r="I77" s="6">
        <v>595</v>
      </c>
      <c r="J77" s="1" t="s">
        <v>163</v>
      </c>
      <c r="K77" s="6">
        <v>580</v>
      </c>
      <c r="L77" s="50" t="s">
        <v>274</v>
      </c>
      <c r="M77" s="70" t="str">
        <f>VLOOKUP(Table3[[#This Row],[Shop Name]],seller!A:A,1,0)</f>
        <v>Soma Collection</v>
      </c>
    </row>
    <row r="78" spans="1:13" ht="32" x14ac:dyDescent="0.2">
      <c r="A78" s="2">
        <v>77</v>
      </c>
      <c r="B78" s="2" t="s">
        <v>52</v>
      </c>
      <c r="C78" s="2" t="s">
        <v>46</v>
      </c>
      <c r="D78" s="2" t="s">
        <v>190</v>
      </c>
      <c r="E78" s="2" t="s">
        <v>7</v>
      </c>
      <c r="F78" s="2" t="s">
        <v>11</v>
      </c>
      <c r="G78" s="2" t="s">
        <v>44</v>
      </c>
      <c r="H78" s="23">
        <v>230</v>
      </c>
      <c r="I78" s="6">
        <v>430</v>
      </c>
      <c r="J78" s="1" t="s">
        <v>163</v>
      </c>
      <c r="K78" s="6">
        <v>300</v>
      </c>
      <c r="L78" s="1" t="s">
        <v>550</v>
      </c>
      <c r="M78" s="70" t="str">
        <f>VLOOKUP(Table3[[#This Row],[Shop Name]],seller!A:A,1,0)</f>
        <v>Soma Collection</v>
      </c>
    </row>
    <row r="79" spans="1:13" ht="32" x14ac:dyDescent="0.2">
      <c r="A79" s="2">
        <v>78</v>
      </c>
      <c r="B79" s="2" t="s">
        <v>52</v>
      </c>
      <c r="C79" s="2" t="s">
        <v>46</v>
      </c>
      <c r="D79" s="2" t="s">
        <v>191</v>
      </c>
      <c r="E79" s="2" t="s">
        <v>7</v>
      </c>
      <c r="F79" s="2" t="s">
        <v>11</v>
      </c>
      <c r="G79" s="2" t="s">
        <v>44</v>
      </c>
      <c r="H79" s="23">
        <v>230</v>
      </c>
      <c r="I79" s="6">
        <v>430</v>
      </c>
      <c r="J79" s="1" t="s">
        <v>163</v>
      </c>
      <c r="K79" s="6">
        <v>400</v>
      </c>
      <c r="L79" s="50" t="s">
        <v>503</v>
      </c>
      <c r="M79" s="70" t="str">
        <f>VLOOKUP(Table3[[#This Row],[Shop Name]],seller!A:A,1,0)</f>
        <v>Soma Collection</v>
      </c>
    </row>
    <row r="80" spans="1:13" ht="32" x14ac:dyDescent="0.2">
      <c r="A80" s="2">
        <v>79</v>
      </c>
      <c r="B80" s="2" t="s">
        <v>885</v>
      </c>
      <c r="C80" s="2" t="s">
        <v>46</v>
      </c>
      <c r="D80" s="2" t="s">
        <v>192</v>
      </c>
      <c r="E80" s="2" t="s">
        <v>7</v>
      </c>
      <c r="F80" s="2" t="s">
        <v>11</v>
      </c>
      <c r="G80" s="2" t="s">
        <v>44</v>
      </c>
      <c r="H80" s="23">
        <v>230</v>
      </c>
      <c r="I80" s="6">
        <v>430</v>
      </c>
      <c r="J80" s="1" t="s">
        <v>163</v>
      </c>
      <c r="K80" s="6">
        <v>380</v>
      </c>
      <c r="L80" s="24" t="s">
        <v>890</v>
      </c>
      <c r="M80" s="70" t="str">
        <f>VLOOKUP(Table3[[#This Row],[Shop Name]],seller!A:A,1,0)</f>
        <v>Soma Collection</v>
      </c>
    </row>
    <row r="81" spans="1:13" ht="32" x14ac:dyDescent="0.2">
      <c r="A81" s="2">
        <v>80</v>
      </c>
      <c r="B81" s="2" t="s">
        <v>52</v>
      </c>
      <c r="C81" s="2" t="s">
        <v>46</v>
      </c>
      <c r="D81" s="2" t="s">
        <v>193</v>
      </c>
      <c r="E81" s="2" t="s">
        <v>7</v>
      </c>
      <c r="F81" s="2" t="s">
        <v>11</v>
      </c>
      <c r="G81" s="2" t="s">
        <v>44</v>
      </c>
      <c r="H81" s="23">
        <v>230</v>
      </c>
      <c r="I81" s="6">
        <v>430</v>
      </c>
      <c r="J81" s="1" t="s">
        <v>127</v>
      </c>
      <c r="K81" s="6">
        <v>0</v>
      </c>
      <c r="M81" s="70" t="str">
        <f>VLOOKUP(Table3[[#This Row],[Shop Name]],seller!A:A,1,0)</f>
        <v>Soma Collection</v>
      </c>
    </row>
    <row r="82" spans="1:13" ht="32" x14ac:dyDescent="0.2">
      <c r="A82" s="2">
        <v>81</v>
      </c>
      <c r="B82" s="2" t="s">
        <v>52</v>
      </c>
      <c r="C82" s="2" t="s">
        <v>46</v>
      </c>
      <c r="D82" s="2" t="s">
        <v>194</v>
      </c>
      <c r="E82" s="2" t="s">
        <v>7</v>
      </c>
      <c r="F82" s="2" t="s">
        <v>11</v>
      </c>
      <c r="G82" s="2" t="s">
        <v>44</v>
      </c>
      <c r="H82" s="23">
        <v>395</v>
      </c>
      <c r="I82" s="6">
        <v>595</v>
      </c>
      <c r="J82" s="1" t="s">
        <v>163</v>
      </c>
      <c r="K82" s="6">
        <v>571</v>
      </c>
      <c r="L82" s="52" t="s">
        <v>188</v>
      </c>
      <c r="M82" s="70" t="str">
        <f>VLOOKUP(Table3[[#This Row],[Shop Name]],seller!A:A,1,0)</f>
        <v>Soma Collection</v>
      </c>
    </row>
    <row r="83" spans="1:13" ht="32" x14ac:dyDescent="0.2">
      <c r="A83" s="2">
        <v>82</v>
      </c>
      <c r="B83" s="2" t="s">
        <v>52</v>
      </c>
      <c r="C83" s="2" t="s">
        <v>46</v>
      </c>
      <c r="D83" s="2" t="s">
        <v>101</v>
      </c>
      <c r="E83" s="2" t="s">
        <v>7</v>
      </c>
      <c r="F83" s="2" t="s">
        <v>11</v>
      </c>
      <c r="G83" s="2" t="s">
        <v>54</v>
      </c>
      <c r="H83" s="23">
        <v>395</v>
      </c>
      <c r="I83" s="6">
        <v>595</v>
      </c>
      <c r="J83" s="1" t="s">
        <v>163</v>
      </c>
      <c r="K83" s="6">
        <v>550</v>
      </c>
      <c r="L83" s="50" t="s">
        <v>515</v>
      </c>
      <c r="M83" s="70" t="str">
        <f>VLOOKUP(Table3[[#This Row],[Shop Name]],seller!A:A,1,0)</f>
        <v>Soma Collection</v>
      </c>
    </row>
    <row r="84" spans="1:13" ht="32" x14ac:dyDescent="0.2">
      <c r="A84" s="2">
        <v>83</v>
      </c>
      <c r="B84" s="2" t="s">
        <v>52</v>
      </c>
      <c r="C84" s="2" t="s">
        <v>46</v>
      </c>
      <c r="D84" s="2" t="s">
        <v>102</v>
      </c>
      <c r="E84" s="2" t="s">
        <v>7</v>
      </c>
      <c r="F84" s="2" t="s">
        <v>11</v>
      </c>
      <c r="G84" s="2" t="s">
        <v>48</v>
      </c>
      <c r="H84" s="23">
        <v>395</v>
      </c>
      <c r="I84" s="6">
        <v>595</v>
      </c>
      <c r="J84" s="1" t="s">
        <v>127</v>
      </c>
      <c r="K84" s="6">
        <v>0</v>
      </c>
      <c r="M84" s="70" t="str">
        <f>VLOOKUP(Table3[[#This Row],[Shop Name]],seller!A:A,1,0)</f>
        <v>Soma Collection</v>
      </c>
    </row>
    <row r="85" spans="1:13" ht="32" x14ac:dyDescent="0.2">
      <c r="A85" s="2">
        <v>84</v>
      </c>
      <c r="B85" s="2" t="s">
        <v>52</v>
      </c>
      <c r="C85" s="2" t="s">
        <v>46</v>
      </c>
      <c r="D85" s="2" t="s">
        <v>103</v>
      </c>
      <c r="E85" s="2" t="s">
        <v>7</v>
      </c>
      <c r="F85" s="2" t="s">
        <v>11</v>
      </c>
      <c r="G85" s="2" t="s">
        <v>48</v>
      </c>
      <c r="H85" s="23">
        <v>395</v>
      </c>
      <c r="I85" s="6">
        <v>595</v>
      </c>
      <c r="J85" s="1" t="s">
        <v>163</v>
      </c>
      <c r="K85" s="6">
        <v>550</v>
      </c>
      <c r="L85" s="50" t="s">
        <v>504</v>
      </c>
      <c r="M85" s="70" t="str">
        <f>VLOOKUP(Table3[[#This Row],[Shop Name]],seller!A:A,1,0)</f>
        <v>Soma Collection</v>
      </c>
    </row>
    <row r="86" spans="1:13" ht="32" x14ac:dyDescent="0.2">
      <c r="A86" s="2">
        <v>85</v>
      </c>
      <c r="B86" s="2" t="s">
        <v>52</v>
      </c>
      <c r="C86" s="2" t="s">
        <v>46</v>
      </c>
      <c r="D86" s="2" t="s">
        <v>104</v>
      </c>
      <c r="E86" s="2" t="s">
        <v>7</v>
      </c>
      <c r="F86" s="2" t="s">
        <v>75</v>
      </c>
      <c r="G86" s="2" t="s">
        <v>48</v>
      </c>
      <c r="H86" s="23">
        <v>425</v>
      </c>
      <c r="I86" s="6">
        <v>625</v>
      </c>
      <c r="J86" s="1" t="s">
        <v>163</v>
      </c>
      <c r="K86" s="6">
        <v>625</v>
      </c>
      <c r="L86" s="50" t="s">
        <v>323</v>
      </c>
      <c r="M86" s="70" t="str">
        <f>VLOOKUP(Table3[[#This Row],[Shop Name]],seller!A:A,1,0)</f>
        <v>Rudra Fashion</v>
      </c>
    </row>
    <row r="87" spans="1:13" ht="32" x14ac:dyDescent="0.2">
      <c r="A87" s="2">
        <v>86</v>
      </c>
      <c r="B87" s="2" t="s">
        <v>52</v>
      </c>
      <c r="C87" s="2" t="s">
        <v>46</v>
      </c>
      <c r="D87" s="2" t="s">
        <v>104</v>
      </c>
      <c r="E87" s="2" t="s">
        <v>7</v>
      </c>
      <c r="F87" s="2" t="s">
        <v>75</v>
      </c>
      <c r="G87" s="2" t="s">
        <v>44</v>
      </c>
      <c r="H87" s="23">
        <v>425</v>
      </c>
      <c r="I87" s="6">
        <v>625</v>
      </c>
      <c r="J87" s="1" t="s">
        <v>163</v>
      </c>
      <c r="K87" s="6">
        <v>600</v>
      </c>
      <c r="L87" s="50" t="s">
        <v>503</v>
      </c>
      <c r="M87" s="70" t="str">
        <f>VLOOKUP(Table3[[#This Row],[Shop Name]],seller!A:A,1,0)</f>
        <v>Rudra Fashion</v>
      </c>
    </row>
    <row r="88" spans="1:13" ht="32" x14ac:dyDescent="0.2">
      <c r="A88" s="2">
        <v>87</v>
      </c>
      <c r="B88" s="2" t="s">
        <v>510</v>
      </c>
      <c r="C88" s="2" t="s">
        <v>46</v>
      </c>
      <c r="D88" s="2" t="s">
        <v>105</v>
      </c>
      <c r="E88" s="2" t="s">
        <v>7</v>
      </c>
      <c r="F88" s="2" t="s">
        <v>75</v>
      </c>
      <c r="G88" s="2" t="s">
        <v>54</v>
      </c>
      <c r="H88" s="23">
        <v>360</v>
      </c>
      <c r="I88" s="6">
        <v>560</v>
      </c>
      <c r="J88" s="1" t="s">
        <v>163</v>
      </c>
      <c r="K88" s="6">
        <v>511</v>
      </c>
      <c r="L88" s="52" t="s">
        <v>511</v>
      </c>
      <c r="M88" s="70" t="str">
        <f>VLOOKUP(Table3[[#This Row],[Shop Name]],seller!A:A,1,0)</f>
        <v>Rudra Fashion</v>
      </c>
    </row>
    <row r="89" spans="1:13" s="35" customFormat="1" ht="32" x14ac:dyDescent="0.2">
      <c r="A89" s="2">
        <v>88</v>
      </c>
      <c r="B89" s="22" t="s">
        <v>510</v>
      </c>
      <c r="C89" s="22" t="s">
        <v>46</v>
      </c>
      <c r="D89" s="22" t="s">
        <v>195</v>
      </c>
      <c r="E89" s="22" t="s">
        <v>7</v>
      </c>
      <c r="F89" s="22" t="s">
        <v>75</v>
      </c>
      <c r="G89" s="22" t="s">
        <v>54</v>
      </c>
      <c r="H89" s="23">
        <v>360</v>
      </c>
      <c r="I89" s="23">
        <v>560</v>
      </c>
      <c r="J89" s="24" t="s">
        <v>127</v>
      </c>
      <c r="K89" s="23">
        <v>0</v>
      </c>
      <c r="L89" s="24"/>
      <c r="M89" s="70" t="str">
        <f>VLOOKUP(Table3[[#This Row],[Shop Name]],seller!A:A,1,0)</f>
        <v>Rudra Fashion</v>
      </c>
    </row>
    <row r="90" spans="1:13" ht="32" x14ac:dyDescent="0.2">
      <c r="A90" s="2">
        <v>89</v>
      </c>
      <c r="B90" s="2" t="s">
        <v>52</v>
      </c>
      <c r="C90" s="2" t="s">
        <v>46</v>
      </c>
      <c r="D90" s="2" t="s">
        <v>106</v>
      </c>
      <c r="E90" s="2" t="s">
        <v>7</v>
      </c>
      <c r="F90" s="2" t="s">
        <v>75</v>
      </c>
      <c r="G90" s="2" t="s">
        <v>54</v>
      </c>
      <c r="H90" s="23">
        <v>345</v>
      </c>
      <c r="I90" s="6">
        <v>545</v>
      </c>
      <c r="J90" s="1" t="s">
        <v>163</v>
      </c>
      <c r="K90" s="6">
        <v>500</v>
      </c>
      <c r="L90" s="50" t="s">
        <v>329</v>
      </c>
      <c r="M90" s="70" t="str">
        <f>VLOOKUP(Table3[[#This Row],[Shop Name]],seller!A:A,1,0)</f>
        <v>Rudra Fashion</v>
      </c>
    </row>
    <row r="91" spans="1:13" ht="32" x14ac:dyDescent="0.2">
      <c r="A91" s="2">
        <v>90</v>
      </c>
      <c r="B91" s="2" t="s">
        <v>52</v>
      </c>
      <c r="C91" s="2" t="s">
        <v>46</v>
      </c>
      <c r="D91" s="2" t="s">
        <v>107</v>
      </c>
      <c r="E91" s="2" t="s">
        <v>7</v>
      </c>
      <c r="F91" s="2" t="s">
        <v>75</v>
      </c>
      <c r="G91" s="2" t="s">
        <v>44</v>
      </c>
      <c r="H91" s="23">
        <v>395</v>
      </c>
      <c r="I91" s="6">
        <v>595</v>
      </c>
      <c r="J91" s="1" t="s">
        <v>127</v>
      </c>
      <c r="K91" s="6">
        <v>0</v>
      </c>
      <c r="M91" s="70" t="str">
        <f>VLOOKUP(Table3[[#This Row],[Shop Name]],seller!A:A,1,0)</f>
        <v>Rudra Fashion</v>
      </c>
    </row>
    <row r="92" spans="1:13" ht="32" x14ac:dyDescent="0.2">
      <c r="A92" s="2">
        <v>91</v>
      </c>
      <c r="B92" s="2">
        <v>3</v>
      </c>
      <c r="C92" s="2" t="s">
        <v>46</v>
      </c>
      <c r="D92" s="2" t="s">
        <v>108</v>
      </c>
      <c r="E92" s="2" t="s">
        <v>7</v>
      </c>
      <c r="F92" s="2" t="s">
        <v>75</v>
      </c>
      <c r="G92" s="2" t="s">
        <v>49</v>
      </c>
      <c r="H92" s="23">
        <v>485</v>
      </c>
      <c r="I92" s="6">
        <v>685</v>
      </c>
      <c r="J92" s="1" t="s">
        <v>127</v>
      </c>
      <c r="K92" s="6">
        <v>0</v>
      </c>
      <c r="M92" s="70" t="str">
        <f>VLOOKUP(Table3[[#This Row],[Shop Name]],seller!A:A,1,0)</f>
        <v>Rudra Fashion</v>
      </c>
    </row>
    <row r="93" spans="1:13" ht="32" x14ac:dyDescent="0.2">
      <c r="A93" s="2">
        <v>92</v>
      </c>
      <c r="B93" s="2">
        <v>5</v>
      </c>
      <c r="C93" s="2" t="s">
        <v>46</v>
      </c>
      <c r="D93" s="2" t="s">
        <v>109</v>
      </c>
      <c r="E93" s="2" t="s">
        <v>7</v>
      </c>
      <c r="F93" s="2" t="s">
        <v>75</v>
      </c>
      <c r="G93" s="2" t="s">
        <v>49</v>
      </c>
      <c r="H93" s="23">
        <v>485</v>
      </c>
      <c r="I93" s="6">
        <v>685</v>
      </c>
      <c r="J93" s="1" t="s">
        <v>163</v>
      </c>
      <c r="K93" s="6">
        <v>600</v>
      </c>
      <c r="L93" s="50" t="s">
        <v>391</v>
      </c>
      <c r="M93" s="70" t="str">
        <f>VLOOKUP(Table3[[#This Row],[Shop Name]],seller!A:A,1,0)</f>
        <v>Rudra Fashion</v>
      </c>
    </row>
    <row r="94" spans="1:13" ht="32" x14ac:dyDescent="0.2">
      <c r="A94" s="2">
        <v>93</v>
      </c>
      <c r="B94" s="2" t="s">
        <v>52</v>
      </c>
      <c r="C94" s="2" t="s">
        <v>46</v>
      </c>
      <c r="D94" s="2" t="s">
        <v>110</v>
      </c>
      <c r="E94" s="2" t="s">
        <v>57</v>
      </c>
      <c r="F94" s="2" t="s">
        <v>75</v>
      </c>
      <c r="G94" s="2" t="s">
        <v>44</v>
      </c>
      <c r="H94" s="23">
        <v>385</v>
      </c>
      <c r="I94" s="6">
        <v>585</v>
      </c>
      <c r="J94" s="1" t="s">
        <v>163</v>
      </c>
      <c r="K94" s="6">
        <v>585</v>
      </c>
      <c r="L94" s="50" t="s">
        <v>214</v>
      </c>
      <c r="M94" s="70" t="str">
        <f>VLOOKUP(Table3[[#This Row],[Shop Name]],seller!A:A,1,0)</f>
        <v>Rudra Fashion</v>
      </c>
    </row>
    <row r="95" spans="1:13" x14ac:dyDescent="0.2">
      <c r="A95" s="2">
        <v>94</v>
      </c>
      <c r="B95" s="2"/>
      <c r="C95" s="2" t="s">
        <v>589</v>
      </c>
      <c r="D95" s="2" t="s">
        <v>196</v>
      </c>
      <c r="E95" s="2" t="s">
        <v>7</v>
      </c>
      <c r="F95" s="2" t="s">
        <v>75</v>
      </c>
      <c r="G95" s="2" t="s">
        <v>49</v>
      </c>
      <c r="H95" s="23">
        <v>525</v>
      </c>
      <c r="I95" s="6">
        <v>725</v>
      </c>
      <c r="J95" s="1" t="s">
        <v>163</v>
      </c>
      <c r="K95" s="6">
        <v>675</v>
      </c>
      <c r="L95" s="53" t="s">
        <v>197</v>
      </c>
      <c r="M95" s="70" t="str">
        <f>VLOOKUP(Table3[[#This Row],[Shop Name]],seller!A:A,1,0)</f>
        <v>Rudra Fashion</v>
      </c>
    </row>
    <row r="96" spans="1:13" x14ac:dyDescent="0.2">
      <c r="A96" s="2">
        <v>95</v>
      </c>
      <c r="B96" s="2"/>
      <c r="C96" s="2" t="s">
        <v>589</v>
      </c>
      <c r="D96" s="2" t="s">
        <v>196</v>
      </c>
      <c r="E96" s="2" t="s">
        <v>7</v>
      </c>
      <c r="F96" s="2" t="s">
        <v>75</v>
      </c>
      <c r="G96" s="2" t="s">
        <v>56</v>
      </c>
      <c r="H96" s="23">
        <v>525</v>
      </c>
      <c r="I96" s="6">
        <v>725</v>
      </c>
      <c r="J96" s="1" t="s">
        <v>163</v>
      </c>
      <c r="K96" s="6">
        <v>725</v>
      </c>
      <c r="L96" s="50" t="s">
        <v>198</v>
      </c>
      <c r="M96" s="70" t="str">
        <f>VLOOKUP(Table3[[#This Row],[Shop Name]],seller!A:A,1,0)</f>
        <v>Rudra Fashion</v>
      </c>
    </row>
    <row r="97" spans="1:13" x14ac:dyDescent="0.2">
      <c r="A97" s="2">
        <v>96</v>
      </c>
      <c r="B97" s="2" t="s">
        <v>52</v>
      </c>
      <c r="C97" s="2" t="s">
        <v>589</v>
      </c>
      <c r="D97" s="2" t="s">
        <v>196</v>
      </c>
      <c r="E97" s="2" t="s">
        <v>7</v>
      </c>
      <c r="F97" s="2" t="s">
        <v>75</v>
      </c>
      <c r="G97" s="2" t="s">
        <v>44</v>
      </c>
      <c r="H97" s="23">
        <v>525</v>
      </c>
      <c r="I97" s="6">
        <v>725</v>
      </c>
      <c r="J97" s="1" t="s">
        <v>163</v>
      </c>
      <c r="K97" s="6">
        <v>650</v>
      </c>
      <c r="L97" s="50" t="s">
        <v>276</v>
      </c>
      <c r="M97" s="70" t="str">
        <f>VLOOKUP(Table3[[#This Row],[Shop Name]],seller!A:A,1,0)</f>
        <v>Rudra Fashion</v>
      </c>
    </row>
    <row r="98" spans="1:13" x14ac:dyDescent="0.2">
      <c r="A98" s="2">
        <v>97</v>
      </c>
      <c r="B98" s="2" t="s">
        <v>52</v>
      </c>
      <c r="C98" s="2" t="s">
        <v>589</v>
      </c>
      <c r="D98" s="2" t="s">
        <v>111</v>
      </c>
      <c r="E98" s="2" t="s">
        <v>7</v>
      </c>
      <c r="F98" s="2" t="s">
        <v>75</v>
      </c>
      <c r="G98" s="2" t="s">
        <v>56</v>
      </c>
      <c r="H98" s="23">
        <v>485</v>
      </c>
      <c r="I98" s="6">
        <v>685</v>
      </c>
      <c r="J98" s="1" t="s">
        <v>163</v>
      </c>
      <c r="K98" s="6">
        <v>650</v>
      </c>
      <c r="L98" s="50" t="s">
        <v>433</v>
      </c>
      <c r="M98" s="70" t="str">
        <f>VLOOKUP(Table3[[#This Row],[Shop Name]],seller!A:A,1,0)</f>
        <v>Rudra Fashion</v>
      </c>
    </row>
    <row r="99" spans="1:13" x14ac:dyDescent="0.2">
      <c r="A99" s="2">
        <v>98</v>
      </c>
      <c r="B99" s="2" t="s">
        <v>52</v>
      </c>
      <c r="C99" s="2" t="s">
        <v>589</v>
      </c>
      <c r="D99" s="2" t="s">
        <v>111</v>
      </c>
      <c r="E99" s="2" t="s">
        <v>7</v>
      </c>
      <c r="F99" s="2" t="s">
        <v>75</v>
      </c>
      <c r="G99" s="2" t="s">
        <v>49</v>
      </c>
      <c r="H99" s="23">
        <v>485</v>
      </c>
      <c r="I99" s="6">
        <v>685</v>
      </c>
      <c r="J99" s="1" t="s">
        <v>163</v>
      </c>
      <c r="K99" s="6">
        <v>685</v>
      </c>
      <c r="L99" s="50" t="s">
        <v>199</v>
      </c>
      <c r="M99" s="70" t="str">
        <f>VLOOKUP(Table3[[#This Row],[Shop Name]],seller!A:A,1,0)</f>
        <v>Rudra Fashion</v>
      </c>
    </row>
    <row r="100" spans="1:13" s="35" customFormat="1" x14ac:dyDescent="0.2">
      <c r="A100" s="2">
        <v>99</v>
      </c>
      <c r="B100" s="22" t="s">
        <v>52</v>
      </c>
      <c r="C100" s="22" t="s">
        <v>589</v>
      </c>
      <c r="D100" s="22" t="s">
        <v>200</v>
      </c>
      <c r="E100" s="22" t="s">
        <v>7</v>
      </c>
      <c r="F100" s="22" t="s">
        <v>75</v>
      </c>
      <c r="G100" s="22" t="s">
        <v>54</v>
      </c>
      <c r="H100" s="23">
        <v>215</v>
      </c>
      <c r="I100" s="23">
        <v>415</v>
      </c>
      <c r="J100" s="24" t="s">
        <v>163</v>
      </c>
      <c r="K100" s="23">
        <v>390</v>
      </c>
      <c r="L100" s="50" t="s">
        <v>434</v>
      </c>
      <c r="M100" s="70" t="str">
        <f>VLOOKUP(Table3[[#This Row],[Shop Name]],seller!A:A,1,0)</f>
        <v>Rudra Fashion</v>
      </c>
    </row>
    <row r="101" spans="1:13" s="35" customFormat="1" x14ac:dyDescent="0.2">
      <c r="A101" s="2">
        <v>100</v>
      </c>
      <c r="B101" s="22" t="s">
        <v>52</v>
      </c>
      <c r="C101" s="22" t="s">
        <v>589</v>
      </c>
      <c r="D101" s="22" t="s">
        <v>201</v>
      </c>
      <c r="E101" s="22" t="s">
        <v>7</v>
      </c>
      <c r="F101" s="22" t="s">
        <v>75</v>
      </c>
      <c r="G101" s="22" t="s">
        <v>54</v>
      </c>
      <c r="H101" s="23">
        <v>215</v>
      </c>
      <c r="I101" s="23">
        <v>415</v>
      </c>
      <c r="J101" s="24" t="s">
        <v>163</v>
      </c>
      <c r="K101" s="23">
        <v>400</v>
      </c>
      <c r="L101" s="50" t="s">
        <v>326</v>
      </c>
      <c r="M101" s="70" t="str">
        <f>VLOOKUP(Table3[[#This Row],[Shop Name]],seller!A:A,1,0)</f>
        <v>Rudra Fashion</v>
      </c>
    </row>
    <row r="102" spans="1:13" s="35" customFormat="1" x14ac:dyDescent="0.2">
      <c r="A102" s="2">
        <v>101</v>
      </c>
      <c r="B102" s="22" t="s">
        <v>52</v>
      </c>
      <c r="C102" s="22" t="s">
        <v>589</v>
      </c>
      <c r="D102" s="22" t="s">
        <v>202</v>
      </c>
      <c r="E102" s="22" t="s">
        <v>7</v>
      </c>
      <c r="F102" s="22" t="s">
        <v>75</v>
      </c>
      <c r="G102" s="22" t="s">
        <v>54</v>
      </c>
      <c r="H102" s="23">
        <v>215</v>
      </c>
      <c r="I102" s="23">
        <v>415</v>
      </c>
      <c r="J102" s="24" t="s">
        <v>163</v>
      </c>
      <c r="K102" s="23">
        <v>415</v>
      </c>
      <c r="L102" s="50" t="s">
        <v>390</v>
      </c>
      <c r="M102" s="70" t="str">
        <f>VLOOKUP(Table3[[#This Row],[Shop Name]],seller!A:A,1,0)</f>
        <v>Rudra Fashion</v>
      </c>
    </row>
    <row r="103" spans="1:13" ht="32" x14ac:dyDescent="0.2">
      <c r="A103" s="2">
        <v>102</v>
      </c>
      <c r="B103" s="2" t="s">
        <v>52</v>
      </c>
      <c r="C103" s="2" t="s">
        <v>58</v>
      </c>
      <c r="D103" s="2" t="s">
        <v>112</v>
      </c>
      <c r="E103" s="2" t="s">
        <v>7</v>
      </c>
      <c r="F103" s="2" t="s">
        <v>75</v>
      </c>
      <c r="G103" s="2" t="s">
        <v>48</v>
      </c>
      <c r="H103" s="23">
        <v>525</v>
      </c>
      <c r="I103" s="6">
        <v>725</v>
      </c>
      <c r="J103" s="1" t="s">
        <v>163</v>
      </c>
      <c r="K103" s="6">
        <v>700</v>
      </c>
      <c r="L103" s="50" t="s">
        <v>543</v>
      </c>
      <c r="M103" s="70" t="str">
        <f>VLOOKUP(Table3[[#This Row],[Shop Name]],seller!A:A,1,0)</f>
        <v>Rudra Fashion</v>
      </c>
    </row>
    <row r="104" spans="1:13" x14ac:dyDescent="0.2">
      <c r="A104" s="2">
        <v>103</v>
      </c>
      <c r="B104" s="2" t="s">
        <v>52</v>
      </c>
      <c r="C104" s="2" t="s">
        <v>59</v>
      </c>
      <c r="D104" s="2" t="s">
        <v>203</v>
      </c>
      <c r="E104" s="2" t="s">
        <v>7</v>
      </c>
      <c r="F104" s="2" t="s">
        <v>11</v>
      </c>
      <c r="G104" s="2" t="s">
        <v>48</v>
      </c>
      <c r="H104" s="23">
        <v>150</v>
      </c>
      <c r="I104" s="6">
        <v>350</v>
      </c>
      <c r="J104" s="1" t="s">
        <v>127</v>
      </c>
      <c r="K104" s="6">
        <v>0</v>
      </c>
      <c r="M104" s="70" t="str">
        <f>VLOOKUP(Table3[[#This Row],[Shop Name]],seller!A:A,1,0)</f>
        <v>Soma Collection</v>
      </c>
    </row>
    <row r="105" spans="1:13" x14ac:dyDescent="0.2">
      <c r="A105" s="2">
        <v>104</v>
      </c>
      <c r="B105" s="2" t="s">
        <v>52</v>
      </c>
      <c r="C105" s="2" t="s">
        <v>59</v>
      </c>
      <c r="D105" s="2" t="s">
        <v>203</v>
      </c>
      <c r="E105" s="2" t="s">
        <v>7</v>
      </c>
      <c r="F105" s="2" t="s">
        <v>11</v>
      </c>
      <c r="G105" s="2" t="s">
        <v>48</v>
      </c>
      <c r="H105" s="23">
        <v>150</v>
      </c>
      <c r="I105" s="6">
        <v>350</v>
      </c>
      <c r="J105" s="1" t="s">
        <v>127</v>
      </c>
      <c r="K105" s="6">
        <v>0</v>
      </c>
      <c r="M105" s="70" t="str">
        <f>VLOOKUP(Table3[[#This Row],[Shop Name]],seller!A:A,1,0)</f>
        <v>Soma Collection</v>
      </c>
    </row>
    <row r="106" spans="1:13" x14ac:dyDescent="0.2">
      <c r="A106" s="2">
        <v>105</v>
      </c>
      <c r="B106" s="2" t="s">
        <v>52</v>
      </c>
      <c r="C106" s="2" t="s">
        <v>59</v>
      </c>
      <c r="D106" s="2" t="s">
        <v>204</v>
      </c>
      <c r="E106" s="2" t="s">
        <v>7</v>
      </c>
      <c r="F106" s="2" t="s">
        <v>11</v>
      </c>
      <c r="G106" s="2" t="s">
        <v>48</v>
      </c>
      <c r="H106" s="23">
        <v>150</v>
      </c>
      <c r="I106" s="6">
        <v>350</v>
      </c>
      <c r="J106" s="1" t="s">
        <v>127</v>
      </c>
      <c r="K106" s="6">
        <v>0</v>
      </c>
      <c r="M106" s="70" t="str">
        <f>VLOOKUP(Table3[[#This Row],[Shop Name]],seller!A:A,1,0)</f>
        <v>Soma Collection</v>
      </c>
    </row>
    <row r="107" spans="1:13" x14ac:dyDescent="0.2">
      <c r="A107" s="2">
        <v>106</v>
      </c>
      <c r="B107" s="2" t="s">
        <v>52</v>
      </c>
      <c r="C107" s="2" t="s">
        <v>59</v>
      </c>
      <c r="D107" s="2" t="s">
        <v>204</v>
      </c>
      <c r="E107" s="2" t="s">
        <v>7</v>
      </c>
      <c r="F107" s="2" t="s">
        <v>11</v>
      </c>
      <c r="G107" s="2" t="s">
        <v>48</v>
      </c>
      <c r="H107" s="23">
        <v>150</v>
      </c>
      <c r="I107" s="6">
        <v>350</v>
      </c>
      <c r="J107" s="1" t="s">
        <v>127</v>
      </c>
      <c r="K107" s="6">
        <v>0</v>
      </c>
      <c r="M107" s="70" t="str">
        <f>VLOOKUP(Table3[[#This Row],[Shop Name]],seller!A:A,1,0)</f>
        <v>Soma Collection</v>
      </c>
    </row>
    <row r="108" spans="1:13" x14ac:dyDescent="0.2">
      <c r="A108" s="2">
        <v>107</v>
      </c>
      <c r="B108" s="2" t="s">
        <v>52</v>
      </c>
      <c r="C108" s="2" t="s">
        <v>59</v>
      </c>
      <c r="D108" s="2" t="s">
        <v>113</v>
      </c>
      <c r="E108" s="2" t="s">
        <v>7</v>
      </c>
      <c r="F108" s="2" t="s">
        <v>11</v>
      </c>
      <c r="G108" s="2" t="s">
        <v>48</v>
      </c>
      <c r="H108" s="23">
        <v>340</v>
      </c>
      <c r="I108" s="6">
        <v>540</v>
      </c>
      <c r="J108" s="1" t="s">
        <v>163</v>
      </c>
      <c r="K108" s="6">
        <v>440</v>
      </c>
      <c r="L108" s="50" t="s">
        <v>551</v>
      </c>
      <c r="M108" s="70" t="str">
        <f>VLOOKUP(Table3[[#This Row],[Shop Name]],seller!A:A,1,0)</f>
        <v>Soma Collection</v>
      </c>
    </row>
    <row r="109" spans="1:13" x14ac:dyDescent="0.2">
      <c r="A109" s="2">
        <v>108</v>
      </c>
      <c r="B109" s="2" t="s">
        <v>52</v>
      </c>
      <c r="C109" s="2" t="s">
        <v>59</v>
      </c>
      <c r="D109" s="2" t="s">
        <v>113</v>
      </c>
      <c r="E109" s="2" t="s">
        <v>7</v>
      </c>
      <c r="F109" s="2" t="s">
        <v>11</v>
      </c>
      <c r="G109" s="2" t="s">
        <v>54</v>
      </c>
      <c r="H109" s="23">
        <v>340</v>
      </c>
      <c r="I109" s="6">
        <v>540</v>
      </c>
      <c r="J109" s="1" t="s">
        <v>127</v>
      </c>
      <c r="K109" s="6">
        <v>0</v>
      </c>
      <c r="M109" s="70" t="str">
        <f>VLOOKUP(Table3[[#This Row],[Shop Name]],seller!A:A,1,0)</f>
        <v>Soma Collection</v>
      </c>
    </row>
    <row r="110" spans="1:13" x14ac:dyDescent="0.2">
      <c r="A110" s="2">
        <v>109</v>
      </c>
      <c r="B110" s="2" t="s">
        <v>52</v>
      </c>
      <c r="C110" s="2" t="s">
        <v>59</v>
      </c>
      <c r="D110" s="2" t="s">
        <v>114</v>
      </c>
      <c r="E110" s="2" t="s">
        <v>7</v>
      </c>
      <c r="F110" s="2" t="s">
        <v>11</v>
      </c>
      <c r="G110" s="2" t="s">
        <v>54</v>
      </c>
      <c r="H110" s="23">
        <v>340</v>
      </c>
      <c r="I110" s="6">
        <v>540</v>
      </c>
      <c r="J110" s="1" t="s">
        <v>127</v>
      </c>
      <c r="K110" s="6">
        <v>0</v>
      </c>
      <c r="M110" s="70" t="str">
        <f>VLOOKUP(Table3[[#This Row],[Shop Name]],seller!A:A,1,0)</f>
        <v>Soma Collection</v>
      </c>
    </row>
    <row r="111" spans="1:13" s="35" customFormat="1" x14ac:dyDescent="0.2">
      <c r="A111" s="2">
        <v>110</v>
      </c>
      <c r="B111" s="22" t="s">
        <v>52</v>
      </c>
      <c r="C111" s="22" t="s">
        <v>59</v>
      </c>
      <c r="D111" s="22" t="s">
        <v>115</v>
      </c>
      <c r="E111" s="22" t="s">
        <v>7</v>
      </c>
      <c r="F111" s="22" t="s">
        <v>11</v>
      </c>
      <c r="G111" s="22" t="s">
        <v>54</v>
      </c>
      <c r="H111" s="23">
        <v>285</v>
      </c>
      <c r="I111" s="23">
        <v>485</v>
      </c>
      <c r="J111" s="24" t="s">
        <v>127</v>
      </c>
      <c r="K111" s="23">
        <v>0</v>
      </c>
      <c r="L111" s="24"/>
      <c r="M111" s="70" t="str">
        <f>VLOOKUP(Table3[[#This Row],[Shop Name]],seller!A:A,1,0)</f>
        <v>Soma Collection</v>
      </c>
    </row>
    <row r="112" spans="1:13" x14ac:dyDescent="0.2">
      <c r="A112" s="2">
        <v>111</v>
      </c>
      <c r="B112" s="2" t="s">
        <v>52</v>
      </c>
      <c r="C112" s="2" t="s">
        <v>59</v>
      </c>
      <c r="D112" s="2" t="s">
        <v>116</v>
      </c>
      <c r="E112" s="2" t="s">
        <v>7</v>
      </c>
      <c r="F112" s="2" t="s">
        <v>11</v>
      </c>
      <c r="G112" s="2" t="s">
        <v>54</v>
      </c>
      <c r="H112" s="23">
        <v>285</v>
      </c>
      <c r="I112" s="6">
        <v>485</v>
      </c>
      <c r="J112" s="1" t="s">
        <v>127</v>
      </c>
      <c r="K112" s="6">
        <v>0</v>
      </c>
      <c r="M112" s="70" t="str">
        <f>VLOOKUP(Table3[[#This Row],[Shop Name]],seller!A:A,1,0)</f>
        <v>Soma Collection</v>
      </c>
    </row>
    <row r="113" spans="1:13" s="35" customFormat="1" x14ac:dyDescent="0.2">
      <c r="A113" s="2">
        <v>112</v>
      </c>
      <c r="B113" s="22" t="s">
        <v>954</v>
      </c>
      <c r="C113" s="22" t="s">
        <v>59</v>
      </c>
      <c r="D113" s="22" t="s">
        <v>205</v>
      </c>
      <c r="E113" s="22" t="s">
        <v>7</v>
      </c>
      <c r="F113" s="22" t="s">
        <v>75</v>
      </c>
      <c r="G113" s="22" t="s">
        <v>48</v>
      </c>
      <c r="H113" s="23">
        <v>485</v>
      </c>
      <c r="I113" s="23">
        <v>685</v>
      </c>
      <c r="J113" s="24" t="s">
        <v>163</v>
      </c>
      <c r="K113" s="23">
        <v>668</v>
      </c>
      <c r="L113" s="24" t="s">
        <v>970</v>
      </c>
      <c r="M113" s="70" t="str">
        <f>VLOOKUP(Table3[[#This Row],[Shop Name]],seller!A:A,1,0)</f>
        <v>Rudra Fashion</v>
      </c>
    </row>
    <row r="114" spans="1:13" x14ac:dyDescent="0.2">
      <c r="A114" s="2">
        <v>113</v>
      </c>
      <c r="B114" s="2" t="s">
        <v>510</v>
      </c>
      <c r="C114" s="2" t="s">
        <v>59</v>
      </c>
      <c r="D114" s="2" t="s">
        <v>206</v>
      </c>
      <c r="E114" s="2" t="s">
        <v>7</v>
      </c>
      <c r="F114" s="2" t="s">
        <v>75</v>
      </c>
      <c r="G114" s="2" t="s">
        <v>48</v>
      </c>
      <c r="H114" s="23">
        <v>485</v>
      </c>
      <c r="I114" s="6">
        <v>685</v>
      </c>
      <c r="J114" s="1" t="s">
        <v>163</v>
      </c>
      <c r="K114" s="6">
        <v>680</v>
      </c>
      <c r="L114" s="50" t="s">
        <v>512</v>
      </c>
      <c r="M114" s="70" t="str">
        <f>VLOOKUP(Table3[[#This Row],[Shop Name]],seller!A:A,1,0)</f>
        <v>Rudra Fashion</v>
      </c>
    </row>
    <row r="115" spans="1:13" x14ac:dyDescent="0.2">
      <c r="A115" s="2">
        <v>114</v>
      </c>
      <c r="B115" s="2" t="s">
        <v>52</v>
      </c>
      <c r="C115" s="2" t="s">
        <v>59</v>
      </c>
      <c r="D115" s="2" t="s">
        <v>207</v>
      </c>
      <c r="E115" s="2" t="s">
        <v>7</v>
      </c>
      <c r="F115" s="2" t="s">
        <v>75</v>
      </c>
      <c r="G115" s="2" t="s">
        <v>49</v>
      </c>
      <c r="H115" s="23">
        <v>365</v>
      </c>
      <c r="I115" s="6">
        <v>565</v>
      </c>
      <c r="J115" s="1" t="s">
        <v>163</v>
      </c>
      <c r="K115" s="6">
        <v>565</v>
      </c>
      <c r="L115" s="50" t="s">
        <v>208</v>
      </c>
      <c r="M115" s="70" t="str">
        <f>VLOOKUP(Table3[[#This Row],[Shop Name]],seller!A:A,1,0)</f>
        <v>Rudra Fashion</v>
      </c>
    </row>
    <row r="116" spans="1:13" x14ac:dyDescent="0.2">
      <c r="A116" s="2">
        <v>115</v>
      </c>
      <c r="B116" s="2" t="s">
        <v>52</v>
      </c>
      <c r="C116" s="2" t="s">
        <v>59</v>
      </c>
      <c r="D116" s="2" t="s">
        <v>117</v>
      </c>
      <c r="E116" s="2" t="s">
        <v>7</v>
      </c>
      <c r="F116" s="2" t="s">
        <v>75</v>
      </c>
      <c r="G116" s="2" t="s">
        <v>44</v>
      </c>
      <c r="H116" s="23">
        <v>395</v>
      </c>
      <c r="I116" s="6">
        <v>595</v>
      </c>
      <c r="J116" s="1" t="s">
        <v>163</v>
      </c>
      <c r="K116" s="6">
        <v>595</v>
      </c>
      <c r="L116" s="50" t="s">
        <v>208</v>
      </c>
      <c r="M116" s="70" t="str">
        <f>VLOOKUP(Table3[[#This Row],[Shop Name]],seller!A:A,1,0)</f>
        <v>Rudra Fashion</v>
      </c>
    </row>
    <row r="117" spans="1:13" x14ac:dyDescent="0.2">
      <c r="A117" s="2">
        <v>116</v>
      </c>
      <c r="B117" s="18" t="s">
        <v>52</v>
      </c>
      <c r="C117" s="18" t="s">
        <v>59</v>
      </c>
      <c r="D117" s="18" t="s">
        <v>117</v>
      </c>
      <c r="E117" s="18" t="s">
        <v>7</v>
      </c>
      <c r="F117" s="18" t="s">
        <v>75</v>
      </c>
      <c r="G117" s="18" t="s">
        <v>54</v>
      </c>
      <c r="H117" s="23">
        <v>0</v>
      </c>
      <c r="I117" s="19">
        <v>595</v>
      </c>
      <c r="J117" s="20" t="s">
        <v>127</v>
      </c>
      <c r="K117" s="6">
        <v>0</v>
      </c>
      <c r="L117" s="20"/>
      <c r="M117" s="70" t="str">
        <f>VLOOKUP(Table3[[#This Row],[Shop Name]],seller!A:A,1,0)</f>
        <v>Rudra Fashion</v>
      </c>
    </row>
    <row r="118" spans="1:13" x14ac:dyDescent="0.2">
      <c r="A118" s="2">
        <v>117</v>
      </c>
      <c r="B118" s="22" t="s">
        <v>686</v>
      </c>
      <c r="C118" s="22" t="s">
        <v>59</v>
      </c>
      <c r="D118" s="22" t="s">
        <v>505</v>
      </c>
      <c r="E118" s="22" t="s">
        <v>7</v>
      </c>
      <c r="F118" s="22" t="s">
        <v>75</v>
      </c>
      <c r="G118" s="22" t="s">
        <v>48</v>
      </c>
      <c r="H118" s="23">
        <v>485</v>
      </c>
      <c r="I118" s="23">
        <v>685</v>
      </c>
      <c r="J118" s="24" t="s">
        <v>163</v>
      </c>
      <c r="K118" s="6">
        <v>618</v>
      </c>
      <c r="L118" s="24" t="s">
        <v>700</v>
      </c>
      <c r="M118" s="70" t="str">
        <f>VLOOKUP(Table3[[#This Row],[Shop Name]],seller!A:A,1,0)</f>
        <v>Rudra Fashion</v>
      </c>
    </row>
    <row r="119" spans="1:13" x14ac:dyDescent="0.2">
      <c r="A119" s="2">
        <v>118</v>
      </c>
      <c r="B119" s="2" t="s">
        <v>52</v>
      </c>
      <c r="C119" s="2" t="s">
        <v>59</v>
      </c>
      <c r="D119" s="2" t="s">
        <v>118</v>
      </c>
      <c r="E119" s="2" t="s">
        <v>7</v>
      </c>
      <c r="F119" s="2" t="s">
        <v>75</v>
      </c>
      <c r="G119" s="2" t="s">
        <v>54</v>
      </c>
      <c r="H119" s="23">
        <v>425</v>
      </c>
      <c r="I119" s="6">
        <v>625</v>
      </c>
      <c r="J119" s="1" t="s">
        <v>163</v>
      </c>
      <c r="K119" s="6">
        <v>551</v>
      </c>
      <c r="L119" s="50" t="s">
        <v>425</v>
      </c>
      <c r="M119" s="70" t="str">
        <f>VLOOKUP(Table3[[#This Row],[Shop Name]],seller!A:A,1,0)</f>
        <v>Rudra Fashion</v>
      </c>
    </row>
    <row r="120" spans="1:13" x14ac:dyDescent="0.2">
      <c r="A120" s="2">
        <v>119</v>
      </c>
      <c r="B120" s="2" t="s">
        <v>52</v>
      </c>
      <c r="C120" s="2" t="s">
        <v>59</v>
      </c>
      <c r="D120" s="2" t="s">
        <v>119</v>
      </c>
      <c r="E120" s="2" t="s">
        <v>7</v>
      </c>
      <c r="F120" s="2" t="s">
        <v>75</v>
      </c>
      <c r="G120" s="2" t="s">
        <v>54</v>
      </c>
      <c r="H120" s="23">
        <v>465</v>
      </c>
      <c r="I120" s="6">
        <v>665</v>
      </c>
      <c r="J120" s="1" t="s">
        <v>163</v>
      </c>
      <c r="K120" s="6">
        <v>600</v>
      </c>
      <c r="L120" s="50" t="s">
        <v>322</v>
      </c>
      <c r="M120" s="70" t="str">
        <f>VLOOKUP(Table3[[#This Row],[Shop Name]],seller!A:A,1,0)</f>
        <v>Rudra Fashion</v>
      </c>
    </row>
    <row r="121" spans="1:13" x14ac:dyDescent="0.2">
      <c r="A121" s="2">
        <v>120</v>
      </c>
      <c r="B121" s="2" t="s">
        <v>52</v>
      </c>
      <c r="C121" s="2" t="s">
        <v>59</v>
      </c>
      <c r="D121" s="2" t="s">
        <v>120</v>
      </c>
      <c r="E121" s="2" t="s">
        <v>7</v>
      </c>
      <c r="F121" s="2" t="s">
        <v>75</v>
      </c>
      <c r="G121" s="2" t="s">
        <v>44</v>
      </c>
      <c r="H121" s="23">
        <v>325</v>
      </c>
      <c r="I121" s="6">
        <v>525</v>
      </c>
      <c r="J121" s="1" t="s">
        <v>163</v>
      </c>
      <c r="K121" s="6">
        <v>325</v>
      </c>
      <c r="L121" s="50" t="s">
        <v>333</v>
      </c>
      <c r="M121" s="70" t="str">
        <f>VLOOKUP(Table3[[#This Row],[Shop Name]],seller!A:A,1,0)</f>
        <v>Rudra Fashion</v>
      </c>
    </row>
    <row r="122" spans="1:13" x14ac:dyDescent="0.2">
      <c r="A122" s="2">
        <v>121</v>
      </c>
      <c r="B122" s="2" t="s">
        <v>52</v>
      </c>
      <c r="C122" s="2" t="s">
        <v>59</v>
      </c>
      <c r="D122" s="2" t="s">
        <v>121</v>
      </c>
      <c r="E122" s="2" t="s">
        <v>7</v>
      </c>
      <c r="F122" s="2" t="s">
        <v>75</v>
      </c>
      <c r="G122" s="2" t="s">
        <v>44</v>
      </c>
      <c r="H122" s="23">
        <v>225</v>
      </c>
      <c r="I122" s="6">
        <v>425</v>
      </c>
      <c r="J122" s="1" t="s">
        <v>163</v>
      </c>
      <c r="K122" s="6">
        <v>400</v>
      </c>
      <c r="L122" s="50" t="s">
        <v>506</v>
      </c>
      <c r="M122" s="70" t="str">
        <f>VLOOKUP(Table3[[#This Row],[Shop Name]],seller!A:A,1,0)</f>
        <v>Rudra Fashion</v>
      </c>
    </row>
    <row r="123" spans="1:13" x14ac:dyDescent="0.2">
      <c r="A123" s="2">
        <v>122</v>
      </c>
      <c r="B123" s="2" t="s">
        <v>52</v>
      </c>
      <c r="C123" s="2" t="s">
        <v>59</v>
      </c>
      <c r="D123" s="17" t="s">
        <v>209</v>
      </c>
      <c r="E123" s="2" t="s">
        <v>7</v>
      </c>
      <c r="F123" s="2" t="s">
        <v>75</v>
      </c>
      <c r="G123" s="2" t="s">
        <v>49</v>
      </c>
      <c r="H123" s="23">
        <v>465</v>
      </c>
      <c r="I123" s="6">
        <v>765</v>
      </c>
      <c r="J123" s="1" t="s">
        <v>163</v>
      </c>
      <c r="K123" s="6">
        <v>600</v>
      </c>
      <c r="L123" s="53" t="s">
        <v>197</v>
      </c>
      <c r="M123" s="70" t="str">
        <f>VLOOKUP(Table3[[#This Row],[Shop Name]],seller!A:A,1,0)</f>
        <v>Rudra Fashion</v>
      </c>
    </row>
    <row r="124" spans="1:13" s="35" customFormat="1" x14ac:dyDescent="0.2">
      <c r="A124" s="2">
        <v>123</v>
      </c>
      <c r="B124" s="22" t="s">
        <v>52</v>
      </c>
      <c r="C124" s="22" t="s">
        <v>59</v>
      </c>
      <c r="D124" s="22" t="s">
        <v>122</v>
      </c>
      <c r="E124" s="22" t="s">
        <v>7</v>
      </c>
      <c r="F124" s="22" t="s">
        <v>75</v>
      </c>
      <c r="G124" s="22" t="s">
        <v>54</v>
      </c>
      <c r="H124" s="23">
        <v>215</v>
      </c>
      <c r="I124" s="23">
        <v>415</v>
      </c>
      <c r="J124" s="24" t="s">
        <v>127</v>
      </c>
      <c r="K124" s="23">
        <v>0</v>
      </c>
      <c r="L124" s="24"/>
      <c r="M124" s="70" t="str">
        <f>VLOOKUP(Table3[[#This Row],[Shop Name]],seller!A:A,1,0)</f>
        <v>Rudra Fashion</v>
      </c>
    </row>
    <row r="125" spans="1:13" ht="32" x14ac:dyDescent="0.2">
      <c r="A125" s="2">
        <v>124</v>
      </c>
      <c r="B125" s="2" t="s">
        <v>52</v>
      </c>
      <c r="C125" s="2" t="s">
        <v>46</v>
      </c>
      <c r="D125" s="2" t="s">
        <v>123</v>
      </c>
      <c r="E125" s="2" t="s">
        <v>642</v>
      </c>
      <c r="F125" s="2" t="s">
        <v>61</v>
      </c>
      <c r="G125" s="2" t="s">
        <v>48</v>
      </c>
      <c r="H125" s="23">
        <v>850</v>
      </c>
      <c r="I125" s="6">
        <v>1150</v>
      </c>
      <c r="J125" s="1" t="s">
        <v>163</v>
      </c>
      <c r="K125" s="6">
        <v>1100</v>
      </c>
      <c r="L125" s="1" t="s">
        <v>654</v>
      </c>
      <c r="M125" s="70" t="str">
        <f>VLOOKUP(Table3[[#This Row],[Shop Name]],seller!A:A,1,0)</f>
        <v>RV Fashion</v>
      </c>
    </row>
    <row r="126" spans="1:13" ht="32" x14ac:dyDescent="0.2">
      <c r="A126" s="2">
        <v>125</v>
      </c>
      <c r="B126" s="2" t="s">
        <v>52</v>
      </c>
      <c r="C126" s="2" t="s">
        <v>46</v>
      </c>
      <c r="D126" s="2" t="s">
        <v>123</v>
      </c>
      <c r="E126" s="2" t="s">
        <v>642</v>
      </c>
      <c r="F126" s="2" t="s">
        <v>61</v>
      </c>
      <c r="G126" s="2" t="s">
        <v>54</v>
      </c>
      <c r="H126" s="23">
        <v>850</v>
      </c>
      <c r="I126" s="6">
        <v>1150</v>
      </c>
      <c r="J126" s="1" t="s">
        <v>163</v>
      </c>
      <c r="K126" s="6">
        <v>1150</v>
      </c>
      <c r="L126" s="50" t="s">
        <v>721</v>
      </c>
      <c r="M126" s="70" t="str">
        <f>VLOOKUP(Table3[[#This Row],[Shop Name]],seller!A:A,1,0)</f>
        <v>RV Fashion</v>
      </c>
    </row>
    <row r="127" spans="1:13" ht="32" x14ac:dyDescent="0.2">
      <c r="A127" s="2">
        <v>126</v>
      </c>
      <c r="B127" s="2" t="s">
        <v>52</v>
      </c>
      <c r="C127" s="2" t="s">
        <v>46</v>
      </c>
      <c r="D127" s="2" t="s">
        <v>123</v>
      </c>
      <c r="E127" s="2" t="s">
        <v>642</v>
      </c>
      <c r="F127" s="2" t="s">
        <v>61</v>
      </c>
      <c r="G127" s="2" t="s">
        <v>44</v>
      </c>
      <c r="H127" s="23">
        <v>850</v>
      </c>
      <c r="I127" s="6">
        <v>1150</v>
      </c>
      <c r="J127" s="1" t="s">
        <v>163</v>
      </c>
      <c r="K127" s="6">
        <v>1150</v>
      </c>
      <c r="L127" s="50" t="s">
        <v>325</v>
      </c>
      <c r="M127" s="70" t="str">
        <f>VLOOKUP(Table3[[#This Row],[Shop Name]],seller!A:A,1,0)</f>
        <v>RV Fashion</v>
      </c>
    </row>
    <row r="128" spans="1:13" x14ac:dyDescent="0.2">
      <c r="A128" s="2">
        <v>127</v>
      </c>
      <c r="B128" s="2" t="s">
        <v>52</v>
      </c>
      <c r="C128" s="2" t="s">
        <v>43</v>
      </c>
      <c r="D128" s="2" t="s">
        <v>124</v>
      </c>
      <c r="E128" s="2" t="s">
        <v>62</v>
      </c>
      <c r="F128" s="2" t="s">
        <v>61</v>
      </c>
      <c r="G128" s="2" t="s">
        <v>54</v>
      </c>
      <c r="H128" s="23">
        <v>530</v>
      </c>
      <c r="I128" s="6">
        <v>750</v>
      </c>
      <c r="J128" s="1" t="s">
        <v>163</v>
      </c>
      <c r="K128" s="6">
        <v>750</v>
      </c>
      <c r="L128" s="50" t="s">
        <v>507</v>
      </c>
      <c r="M128" s="70" t="str">
        <f>VLOOKUP(Table3[[#This Row],[Shop Name]],seller!A:A,1,0)</f>
        <v>RV Fashion</v>
      </c>
    </row>
    <row r="129" spans="1:13" x14ac:dyDescent="0.2">
      <c r="A129" s="2">
        <v>128</v>
      </c>
      <c r="B129" s="2" t="s">
        <v>52</v>
      </c>
      <c r="C129" s="2" t="s">
        <v>43</v>
      </c>
      <c r="D129" s="2" t="s">
        <v>124</v>
      </c>
      <c r="E129" s="2" t="s">
        <v>62</v>
      </c>
      <c r="F129" s="2" t="s">
        <v>61</v>
      </c>
      <c r="G129" s="2" t="s">
        <v>49</v>
      </c>
      <c r="H129" s="23">
        <v>530</v>
      </c>
      <c r="I129" s="6">
        <v>750</v>
      </c>
      <c r="J129" s="1" t="s">
        <v>163</v>
      </c>
      <c r="K129" s="6">
        <v>750</v>
      </c>
      <c r="L129" s="50" t="s">
        <v>199</v>
      </c>
      <c r="M129" s="70" t="str">
        <f>VLOOKUP(Table3[[#This Row],[Shop Name]],seller!A:A,1,0)</f>
        <v>RV Fashion</v>
      </c>
    </row>
    <row r="130" spans="1:13" x14ac:dyDescent="0.2">
      <c r="A130" s="2">
        <v>129</v>
      </c>
      <c r="B130" s="2" t="s">
        <v>52</v>
      </c>
      <c r="C130" s="2" t="s">
        <v>43</v>
      </c>
      <c r="D130" s="2" t="s">
        <v>125</v>
      </c>
      <c r="E130" s="2" t="s">
        <v>62</v>
      </c>
      <c r="F130" s="2" t="s">
        <v>61</v>
      </c>
      <c r="G130" s="2" t="s">
        <v>54</v>
      </c>
      <c r="H130" s="23">
        <v>530</v>
      </c>
      <c r="I130" s="6">
        <v>750</v>
      </c>
      <c r="J130" s="1" t="s">
        <v>163</v>
      </c>
      <c r="K130" s="6">
        <v>730</v>
      </c>
      <c r="L130" s="50" t="s">
        <v>210</v>
      </c>
      <c r="M130" s="70" t="str">
        <f>VLOOKUP(Table3[[#This Row],[Shop Name]],seller!A:A,1,0)</f>
        <v>RV Fashion</v>
      </c>
    </row>
    <row r="131" spans="1:13" x14ac:dyDescent="0.2">
      <c r="A131" s="2">
        <v>130</v>
      </c>
      <c r="B131" s="2" t="s">
        <v>52</v>
      </c>
      <c r="C131" s="2" t="s">
        <v>43</v>
      </c>
      <c r="D131" s="2" t="s">
        <v>125</v>
      </c>
      <c r="E131" s="2" t="s">
        <v>62</v>
      </c>
      <c r="F131" s="2" t="s">
        <v>61</v>
      </c>
      <c r="G131" s="2" t="s">
        <v>49</v>
      </c>
      <c r="H131" s="23">
        <v>530</v>
      </c>
      <c r="I131" s="6">
        <v>750</v>
      </c>
      <c r="J131" s="1" t="s">
        <v>163</v>
      </c>
      <c r="K131" s="6">
        <v>750</v>
      </c>
      <c r="L131" s="50" t="s">
        <v>211</v>
      </c>
      <c r="M131" s="70" t="str">
        <f>VLOOKUP(Table3[[#This Row],[Shop Name]],seller!A:A,1,0)</f>
        <v>RV Fashion</v>
      </c>
    </row>
    <row r="132" spans="1:13" x14ac:dyDescent="0.2">
      <c r="A132" s="2">
        <v>131</v>
      </c>
      <c r="B132" s="2" t="s">
        <v>52</v>
      </c>
      <c r="C132" s="2" t="s">
        <v>43</v>
      </c>
      <c r="D132" s="2" t="s">
        <v>126</v>
      </c>
      <c r="E132" s="2" t="s">
        <v>7</v>
      </c>
      <c r="F132" s="2" t="s">
        <v>11</v>
      </c>
      <c r="G132" s="2" t="s">
        <v>48</v>
      </c>
      <c r="H132" s="23">
        <v>800</v>
      </c>
      <c r="I132" s="6">
        <v>1000</v>
      </c>
      <c r="J132" s="1" t="s">
        <v>163</v>
      </c>
      <c r="K132" s="6">
        <v>960</v>
      </c>
      <c r="L132" s="50" t="s">
        <v>212</v>
      </c>
      <c r="M132" s="70" t="str">
        <f>VLOOKUP(Table3[[#This Row],[Shop Name]],seller!A:A,1,0)</f>
        <v>Soma Collection</v>
      </c>
    </row>
    <row r="133" spans="1:13" x14ac:dyDescent="0.2">
      <c r="A133" s="2">
        <v>132</v>
      </c>
      <c r="B133" s="2" t="s">
        <v>52</v>
      </c>
      <c r="C133" s="2" t="s">
        <v>43</v>
      </c>
      <c r="D133" s="2" t="s">
        <v>126</v>
      </c>
      <c r="E133" s="2" t="s">
        <v>7</v>
      </c>
      <c r="F133" s="2" t="s">
        <v>11</v>
      </c>
      <c r="G133" s="2" t="s">
        <v>54</v>
      </c>
      <c r="H133" s="23">
        <v>750</v>
      </c>
      <c r="I133" s="6">
        <v>950</v>
      </c>
      <c r="J133" s="1" t="s">
        <v>163</v>
      </c>
      <c r="K133" s="6">
        <v>900</v>
      </c>
      <c r="L133" s="50" t="s">
        <v>427</v>
      </c>
      <c r="M133" s="70" t="str">
        <f>VLOOKUP(Table3[[#This Row],[Shop Name]],seller!A:A,1,0)</f>
        <v>Soma Collection</v>
      </c>
    </row>
    <row r="134" spans="1:13" ht="32" x14ac:dyDescent="0.2">
      <c r="A134" s="2">
        <v>133</v>
      </c>
      <c r="C134" s="2" t="s">
        <v>46</v>
      </c>
      <c r="D134" s="21" t="s">
        <v>213</v>
      </c>
      <c r="E134" s="2" t="s">
        <v>7</v>
      </c>
      <c r="F134" s="2" t="s">
        <v>75</v>
      </c>
      <c r="G134" s="1" t="s">
        <v>54</v>
      </c>
      <c r="H134" s="62">
        <v>395</v>
      </c>
      <c r="I134" s="7">
        <v>595</v>
      </c>
      <c r="J134" s="1" t="s">
        <v>163</v>
      </c>
      <c r="K134" s="7">
        <v>595</v>
      </c>
      <c r="L134" s="50" t="s">
        <v>214</v>
      </c>
      <c r="M134" s="70" t="str">
        <f>VLOOKUP(Table3[[#This Row],[Shop Name]],seller!A:A,1,0)</f>
        <v>Rudra Fashion</v>
      </c>
    </row>
    <row r="135" spans="1:13" ht="32" x14ac:dyDescent="0.2">
      <c r="A135" s="2">
        <v>134</v>
      </c>
      <c r="C135" s="2" t="s">
        <v>46</v>
      </c>
      <c r="D135" s="17" t="s">
        <v>213</v>
      </c>
      <c r="E135" s="2" t="s">
        <v>7</v>
      </c>
      <c r="F135" s="2" t="s">
        <v>75</v>
      </c>
      <c r="G135" s="1" t="s">
        <v>44</v>
      </c>
      <c r="H135" s="62">
        <v>395</v>
      </c>
      <c r="I135" s="7">
        <v>595</v>
      </c>
      <c r="J135" s="1" t="s">
        <v>163</v>
      </c>
      <c r="K135" s="7">
        <v>595</v>
      </c>
      <c r="L135" s="50" t="s">
        <v>215</v>
      </c>
      <c r="M135" s="70" t="str">
        <f>VLOOKUP(Table3[[#This Row],[Shop Name]],seller!A:A,1,0)</f>
        <v>Rudra Fashion</v>
      </c>
    </row>
    <row r="136" spans="1:13" x14ac:dyDescent="0.2">
      <c r="A136" s="2">
        <v>135</v>
      </c>
      <c r="C136" s="1" t="s">
        <v>589</v>
      </c>
      <c r="D136" s="1" t="s">
        <v>590</v>
      </c>
      <c r="E136" s="2" t="s">
        <v>7</v>
      </c>
      <c r="F136" s="2" t="s">
        <v>75</v>
      </c>
      <c r="G136" s="1" t="s">
        <v>49</v>
      </c>
      <c r="H136" s="62">
        <v>485</v>
      </c>
      <c r="I136" s="7">
        <v>685</v>
      </c>
      <c r="J136" s="1" t="s">
        <v>163</v>
      </c>
      <c r="K136" s="7">
        <v>685</v>
      </c>
      <c r="L136" s="20" t="s">
        <v>216</v>
      </c>
      <c r="M136" s="70" t="str">
        <f>VLOOKUP(Table3[[#This Row],[Shop Name]],seller!A:A,1,0)</f>
        <v>Rudra Fashion</v>
      </c>
    </row>
    <row r="137" spans="1:13" x14ac:dyDescent="0.2">
      <c r="A137" s="2">
        <v>136</v>
      </c>
      <c r="C137" s="2" t="s">
        <v>59</v>
      </c>
      <c r="D137" s="17" t="s">
        <v>217</v>
      </c>
      <c r="E137" s="2" t="s">
        <v>7</v>
      </c>
      <c r="F137" s="2" t="s">
        <v>75</v>
      </c>
      <c r="G137" s="1" t="s">
        <v>44</v>
      </c>
      <c r="H137" s="62">
        <v>225</v>
      </c>
      <c r="I137" s="7">
        <v>425</v>
      </c>
      <c r="J137" s="1" t="s">
        <v>163</v>
      </c>
      <c r="K137" s="7">
        <v>425</v>
      </c>
      <c r="L137" s="51" t="s">
        <v>218</v>
      </c>
      <c r="M137" s="70" t="str">
        <f>VLOOKUP(Table3[[#This Row],[Shop Name]],seller!A:A,1,0)</f>
        <v>Rudra Fashion</v>
      </c>
    </row>
    <row r="138" spans="1:13" s="35" customFormat="1" ht="32" x14ac:dyDescent="0.2">
      <c r="A138" s="2">
        <v>137</v>
      </c>
      <c r="B138" s="41">
        <v>10</v>
      </c>
      <c r="C138" s="22" t="s">
        <v>68</v>
      </c>
      <c r="D138" s="22" t="s">
        <v>69</v>
      </c>
      <c r="E138" s="41" t="s">
        <v>7</v>
      </c>
      <c r="F138" s="22" t="s">
        <v>6</v>
      </c>
      <c r="G138" s="41" t="s">
        <v>48</v>
      </c>
      <c r="H138" s="42">
        <v>725</v>
      </c>
      <c r="I138" s="42">
        <v>1025</v>
      </c>
      <c r="J138" s="24" t="s">
        <v>127</v>
      </c>
      <c r="K138" s="23">
        <v>0</v>
      </c>
      <c r="L138" s="24"/>
      <c r="M138" s="70" t="str">
        <f>VLOOKUP(Table3[[#This Row],[Shop Name]],seller!A:A,1,0)</f>
        <v>N G Garments</v>
      </c>
    </row>
    <row r="139" spans="1:13" ht="32" x14ac:dyDescent="0.2">
      <c r="A139" s="2">
        <v>138</v>
      </c>
      <c r="B139" s="2"/>
      <c r="C139" s="2" t="s">
        <v>240</v>
      </c>
      <c r="D139" s="2" t="s">
        <v>241</v>
      </c>
      <c r="E139" s="2" t="s">
        <v>263</v>
      </c>
      <c r="F139" s="2" t="s">
        <v>237</v>
      </c>
      <c r="G139" s="2" t="s">
        <v>377</v>
      </c>
      <c r="H139" s="23">
        <v>725</v>
      </c>
      <c r="I139" s="6">
        <v>999</v>
      </c>
      <c r="J139" s="1" t="s">
        <v>163</v>
      </c>
      <c r="K139" s="6">
        <v>970</v>
      </c>
      <c r="L139" s="50" t="s">
        <v>380</v>
      </c>
      <c r="M139" s="70" t="str">
        <f>VLOOKUP(Table3[[#This Row],[Shop Name]],seller!A:A,1,0)</f>
        <v>Surana Fashion</v>
      </c>
    </row>
    <row r="140" spans="1:13" ht="32" x14ac:dyDescent="0.2">
      <c r="A140" s="2">
        <v>139</v>
      </c>
      <c r="B140" s="2"/>
      <c r="C140" s="2" t="s">
        <v>240</v>
      </c>
      <c r="D140" s="2" t="s">
        <v>242</v>
      </c>
      <c r="E140" s="2" t="s">
        <v>263</v>
      </c>
      <c r="F140" s="2" t="s">
        <v>237</v>
      </c>
      <c r="G140" s="2" t="s">
        <v>54</v>
      </c>
      <c r="H140" s="23">
        <v>725</v>
      </c>
      <c r="I140" s="6">
        <v>999</v>
      </c>
      <c r="J140" s="1" t="s">
        <v>163</v>
      </c>
      <c r="K140" s="6">
        <v>999</v>
      </c>
      <c r="L140" s="50" t="s">
        <v>386</v>
      </c>
      <c r="M140" s="70" t="str">
        <f>VLOOKUP(Table3[[#This Row],[Shop Name]],seller!A:A,1,0)</f>
        <v>Surana Fashion</v>
      </c>
    </row>
    <row r="141" spans="1:13" x14ac:dyDescent="0.2">
      <c r="A141" s="2">
        <v>140</v>
      </c>
      <c r="B141" s="2"/>
      <c r="C141" s="2" t="s">
        <v>43</v>
      </c>
      <c r="D141" s="2" t="s">
        <v>248</v>
      </c>
      <c r="E141" s="2" t="s">
        <v>263</v>
      </c>
      <c r="F141" s="2" t="s">
        <v>237</v>
      </c>
      <c r="G141" s="2" t="s">
        <v>54</v>
      </c>
      <c r="H141" s="23">
        <v>399</v>
      </c>
      <c r="I141" s="6">
        <v>699</v>
      </c>
      <c r="J141" s="1" t="s">
        <v>163</v>
      </c>
      <c r="K141" s="6">
        <v>610</v>
      </c>
      <c r="L141" s="50" t="s">
        <v>385</v>
      </c>
      <c r="M141" s="70" t="str">
        <f>VLOOKUP(Table3[[#This Row],[Shop Name]],seller!A:A,1,0)</f>
        <v>Surana Fashion</v>
      </c>
    </row>
    <row r="142" spans="1:13" x14ac:dyDescent="0.2">
      <c r="A142" s="2">
        <v>141</v>
      </c>
      <c r="B142" s="2"/>
      <c r="C142" s="2" t="s">
        <v>43</v>
      </c>
      <c r="D142" s="2" t="s">
        <v>243</v>
      </c>
      <c r="E142" s="2" t="s">
        <v>263</v>
      </c>
      <c r="F142" s="2" t="s">
        <v>237</v>
      </c>
      <c r="G142" s="2" t="s">
        <v>54</v>
      </c>
      <c r="H142" s="23">
        <v>399</v>
      </c>
      <c r="I142" s="6">
        <v>699</v>
      </c>
      <c r="J142" s="1" t="s">
        <v>163</v>
      </c>
      <c r="K142" s="6">
        <v>610</v>
      </c>
      <c r="L142" s="50" t="s">
        <v>385</v>
      </c>
      <c r="M142" s="70" t="str">
        <f>VLOOKUP(Table3[[#This Row],[Shop Name]],seller!A:A,1,0)</f>
        <v>Surana Fashion</v>
      </c>
    </row>
    <row r="143" spans="1:13" x14ac:dyDescent="0.2">
      <c r="A143" s="2">
        <v>142</v>
      </c>
      <c r="B143" s="2"/>
      <c r="C143" s="2" t="s">
        <v>43</v>
      </c>
      <c r="D143" s="2" t="s">
        <v>244</v>
      </c>
      <c r="E143" s="2" t="s">
        <v>263</v>
      </c>
      <c r="F143" s="2" t="s">
        <v>237</v>
      </c>
      <c r="G143" s="2" t="s">
        <v>44</v>
      </c>
      <c r="H143" s="23">
        <v>810</v>
      </c>
      <c r="I143" s="6">
        <v>1050</v>
      </c>
      <c r="J143" s="1" t="s">
        <v>163</v>
      </c>
      <c r="K143" s="6">
        <v>1050</v>
      </c>
      <c r="L143" s="50" t="s">
        <v>324</v>
      </c>
      <c r="M143" s="70" t="str">
        <f>VLOOKUP(Table3[[#This Row],[Shop Name]],seller!A:A,1,0)</f>
        <v>Surana Fashion</v>
      </c>
    </row>
    <row r="144" spans="1:13" x14ac:dyDescent="0.2">
      <c r="A144" s="2">
        <v>143</v>
      </c>
      <c r="B144" s="2"/>
      <c r="C144" s="2" t="s">
        <v>43</v>
      </c>
      <c r="D144" s="2" t="s">
        <v>245</v>
      </c>
      <c r="E144" s="2" t="s">
        <v>263</v>
      </c>
      <c r="F144" s="2" t="s">
        <v>237</v>
      </c>
      <c r="G144" s="2" t="s">
        <v>44</v>
      </c>
      <c r="H144" s="23">
        <v>810</v>
      </c>
      <c r="I144" s="6">
        <v>1050</v>
      </c>
      <c r="J144" s="1" t="s">
        <v>163</v>
      </c>
      <c r="K144" s="6">
        <v>810</v>
      </c>
      <c r="L144" s="50" t="s">
        <v>177</v>
      </c>
      <c r="M144" s="70" t="str">
        <f>VLOOKUP(Table3[[#This Row],[Shop Name]],seller!A:A,1,0)</f>
        <v>Surana Fashion</v>
      </c>
    </row>
    <row r="145" spans="1:13" x14ac:dyDescent="0.2">
      <c r="A145" s="2">
        <v>144</v>
      </c>
      <c r="B145" s="2"/>
      <c r="C145" s="2" t="s">
        <v>43</v>
      </c>
      <c r="D145" s="2" t="s">
        <v>246</v>
      </c>
      <c r="E145" s="2" t="s">
        <v>263</v>
      </c>
      <c r="F145" s="2" t="s">
        <v>237</v>
      </c>
      <c r="G145" s="2" t="s">
        <v>44</v>
      </c>
      <c r="H145" s="23">
        <v>810</v>
      </c>
      <c r="I145" s="6">
        <v>1050</v>
      </c>
      <c r="J145" s="1" t="s">
        <v>163</v>
      </c>
      <c r="K145" s="6">
        <v>810</v>
      </c>
      <c r="L145" s="50" t="s">
        <v>333</v>
      </c>
      <c r="M145" s="70" t="str">
        <f>VLOOKUP(Table3[[#This Row],[Shop Name]],seller!A:A,1,0)</f>
        <v>Surana Fashion</v>
      </c>
    </row>
    <row r="146" spans="1:13" x14ac:dyDescent="0.2">
      <c r="A146" s="2">
        <v>145</v>
      </c>
      <c r="B146" s="2"/>
      <c r="C146" s="2" t="s">
        <v>43</v>
      </c>
      <c r="D146" s="2" t="s">
        <v>247</v>
      </c>
      <c r="E146" s="2" t="s">
        <v>263</v>
      </c>
      <c r="F146" s="2" t="s">
        <v>237</v>
      </c>
      <c r="G146" s="2" t="s">
        <v>44</v>
      </c>
      <c r="H146" s="23">
        <v>810</v>
      </c>
      <c r="I146" s="6">
        <v>1050</v>
      </c>
      <c r="J146" s="1" t="s">
        <v>163</v>
      </c>
      <c r="K146" s="6">
        <v>980</v>
      </c>
      <c r="L146" s="20" t="s">
        <v>325</v>
      </c>
      <c r="M146" s="70" t="str">
        <f>VLOOKUP(Table3[[#This Row],[Shop Name]],seller!A:A,1,0)</f>
        <v>Surana Fashion</v>
      </c>
    </row>
    <row r="147" spans="1:13" x14ac:dyDescent="0.2">
      <c r="A147" s="2">
        <v>146</v>
      </c>
      <c r="B147" s="2">
        <v>6</v>
      </c>
      <c r="C147" s="2" t="s">
        <v>634</v>
      </c>
      <c r="D147" s="2" t="s">
        <v>262</v>
      </c>
      <c r="E147" s="2" t="s">
        <v>250</v>
      </c>
      <c r="F147" s="2" t="s">
        <v>75</v>
      </c>
      <c r="G147" s="2" t="s">
        <v>48</v>
      </c>
      <c r="H147" s="23">
        <v>1015</v>
      </c>
      <c r="I147" s="6">
        <v>1350</v>
      </c>
      <c r="J147" s="1" t="s">
        <v>127</v>
      </c>
      <c r="K147" s="6">
        <v>0</v>
      </c>
      <c r="M147" s="70" t="str">
        <f>VLOOKUP(Table3[[#This Row],[Shop Name]],seller!A:A,1,0)</f>
        <v>Rudra Fashion</v>
      </c>
    </row>
    <row r="148" spans="1:13" x14ac:dyDescent="0.2">
      <c r="A148" s="2">
        <v>147</v>
      </c>
      <c r="B148" s="2" t="s">
        <v>686</v>
      </c>
      <c r="C148" s="2" t="s">
        <v>634</v>
      </c>
      <c r="D148" s="2" t="s">
        <v>261</v>
      </c>
      <c r="E148" s="2" t="s">
        <v>250</v>
      </c>
      <c r="F148" s="2" t="s">
        <v>75</v>
      </c>
      <c r="G148" s="2" t="s">
        <v>48</v>
      </c>
      <c r="H148" s="23">
        <v>1015</v>
      </c>
      <c r="I148" s="6">
        <v>1350</v>
      </c>
      <c r="J148" s="1" t="s">
        <v>163</v>
      </c>
      <c r="K148" s="6">
        <v>1300</v>
      </c>
      <c r="L148" s="1" t="s">
        <v>699</v>
      </c>
      <c r="M148" s="70" t="str">
        <f>VLOOKUP(Table3[[#This Row],[Shop Name]],seller!A:A,1,0)</f>
        <v>Rudra Fashion</v>
      </c>
    </row>
    <row r="149" spans="1:13" x14ac:dyDescent="0.2">
      <c r="A149" s="2">
        <v>148</v>
      </c>
      <c r="B149" s="2">
        <v>6</v>
      </c>
      <c r="C149" s="2" t="s">
        <v>634</v>
      </c>
      <c r="D149" s="2" t="s">
        <v>260</v>
      </c>
      <c r="E149" s="2" t="s">
        <v>250</v>
      </c>
      <c r="F149" s="2" t="s">
        <v>75</v>
      </c>
      <c r="G149" s="2" t="s">
        <v>48</v>
      </c>
      <c r="H149" s="23">
        <v>1015</v>
      </c>
      <c r="I149" s="6">
        <v>1350</v>
      </c>
      <c r="J149" s="1" t="s">
        <v>127</v>
      </c>
      <c r="K149" s="6">
        <v>0</v>
      </c>
      <c r="M149" s="70" t="str">
        <f>VLOOKUP(Table3[[#This Row],[Shop Name]],seller!A:A,1,0)</f>
        <v>Rudra Fashion</v>
      </c>
    </row>
    <row r="150" spans="1:13" x14ac:dyDescent="0.2">
      <c r="A150" s="2">
        <v>149</v>
      </c>
      <c r="B150" s="2">
        <v>6</v>
      </c>
      <c r="C150" s="2" t="s">
        <v>634</v>
      </c>
      <c r="D150" s="2" t="s">
        <v>259</v>
      </c>
      <c r="E150" s="2" t="s">
        <v>250</v>
      </c>
      <c r="F150" s="2" t="s">
        <v>75</v>
      </c>
      <c r="G150" s="2" t="s">
        <v>48</v>
      </c>
      <c r="H150" s="23">
        <v>1015</v>
      </c>
      <c r="I150" s="6">
        <v>1350</v>
      </c>
      <c r="J150" s="1" t="s">
        <v>163</v>
      </c>
      <c r="K150" s="6">
        <v>1350</v>
      </c>
      <c r="L150" s="50" t="s">
        <v>214</v>
      </c>
      <c r="M150" s="70" t="str">
        <f>VLOOKUP(Table3[[#This Row],[Shop Name]],seller!A:A,1,0)</f>
        <v>Rudra Fashion</v>
      </c>
    </row>
    <row r="151" spans="1:13" x14ac:dyDescent="0.2">
      <c r="A151" s="2">
        <v>150</v>
      </c>
      <c r="B151" s="2">
        <v>4</v>
      </c>
      <c r="C151" s="2" t="s">
        <v>589</v>
      </c>
      <c r="D151" s="2" t="s">
        <v>591</v>
      </c>
      <c r="E151" s="2" t="s">
        <v>249</v>
      </c>
      <c r="F151" s="2" t="s">
        <v>75</v>
      </c>
      <c r="G151" s="2" t="s">
        <v>49</v>
      </c>
      <c r="H151" s="23">
        <v>625</v>
      </c>
      <c r="I151" s="6">
        <v>850</v>
      </c>
      <c r="J151" s="1" t="s">
        <v>163</v>
      </c>
      <c r="K151" s="6">
        <v>780</v>
      </c>
      <c r="L151" s="50" t="s">
        <v>269</v>
      </c>
      <c r="M151" s="70" t="str">
        <f>VLOOKUP(Table3[[#This Row],[Shop Name]],seller!A:A,1,0)</f>
        <v>Rudra Fashion</v>
      </c>
    </row>
    <row r="152" spans="1:13" x14ac:dyDescent="0.2">
      <c r="A152" s="2">
        <v>151</v>
      </c>
      <c r="B152" s="2">
        <v>4</v>
      </c>
      <c r="C152" s="2" t="s">
        <v>589</v>
      </c>
      <c r="D152" s="2" t="s">
        <v>591</v>
      </c>
      <c r="E152" s="2" t="s">
        <v>249</v>
      </c>
      <c r="F152" s="2" t="s">
        <v>75</v>
      </c>
      <c r="G152" s="2" t="s">
        <v>54</v>
      </c>
      <c r="H152" s="23">
        <v>625</v>
      </c>
      <c r="I152" s="6">
        <v>850</v>
      </c>
      <c r="J152" s="1" t="s">
        <v>163</v>
      </c>
      <c r="K152" s="6">
        <v>625</v>
      </c>
      <c r="L152" s="50" t="s">
        <v>333</v>
      </c>
      <c r="M152" s="70" t="str">
        <f>VLOOKUP(Table3[[#This Row],[Shop Name]],seller!A:A,1,0)</f>
        <v>Rudra Fashion</v>
      </c>
    </row>
    <row r="153" spans="1:13" ht="32" x14ac:dyDescent="0.2">
      <c r="A153" s="2">
        <v>152</v>
      </c>
      <c r="B153" s="2">
        <v>5</v>
      </c>
      <c r="C153" s="2" t="s">
        <v>46</v>
      </c>
      <c r="D153" s="2" t="s">
        <v>258</v>
      </c>
      <c r="E153" s="2" t="s">
        <v>249</v>
      </c>
      <c r="F153" s="2" t="s">
        <v>75</v>
      </c>
      <c r="G153" s="2" t="s">
        <v>44</v>
      </c>
      <c r="H153" s="23">
        <v>635</v>
      </c>
      <c r="I153" s="6">
        <v>850</v>
      </c>
      <c r="J153" s="1" t="s">
        <v>163</v>
      </c>
      <c r="K153" s="6">
        <v>790</v>
      </c>
      <c r="L153" s="50" t="s">
        <v>387</v>
      </c>
      <c r="M153" s="70" t="str">
        <f>VLOOKUP(Table3[[#This Row],[Shop Name]],seller!A:A,1,0)</f>
        <v>Rudra Fashion</v>
      </c>
    </row>
    <row r="154" spans="1:13" s="35" customFormat="1" x14ac:dyDescent="0.2">
      <c r="A154" s="2">
        <v>153</v>
      </c>
      <c r="B154" s="22">
        <v>7</v>
      </c>
      <c r="C154" s="22" t="s">
        <v>634</v>
      </c>
      <c r="D154" s="22" t="s">
        <v>547</v>
      </c>
      <c r="E154" s="22" t="s">
        <v>389</v>
      </c>
      <c r="F154" s="22" t="s">
        <v>75</v>
      </c>
      <c r="G154" s="22" t="s">
        <v>48</v>
      </c>
      <c r="H154" s="23">
        <v>805</v>
      </c>
      <c r="I154" s="23">
        <v>1050</v>
      </c>
      <c r="J154" s="24" t="s">
        <v>127</v>
      </c>
      <c r="K154" s="23">
        <v>0</v>
      </c>
      <c r="L154" s="24"/>
      <c r="M154" s="70" t="str">
        <f>VLOOKUP(Table3[[#This Row],[Shop Name]],seller!A:A,1,0)</f>
        <v>Rudra Fashion</v>
      </c>
    </row>
    <row r="155" spans="1:13" x14ac:dyDescent="0.2">
      <c r="A155" s="2">
        <v>154</v>
      </c>
      <c r="B155" s="2">
        <v>2</v>
      </c>
      <c r="C155" s="2" t="s">
        <v>59</v>
      </c>
      <c r="D155" s="2" t="s">
        <v>257</v>
      </c>
      <c r="E155" s="2" t="s">
        <v>251</v>
      </c>
      <c r="F155" s="2" t="s">
        <v>75</v>
      </c>
      <c r="G155" s="2" t="s">
        <v>44</v>
      </c>
      <c r="H155" s="23">
        <v>575</v>
      </c>
      <c r="I155" s="6">
        <v>775</v>
      </c>
      <c r="J155" s="1" t="s">
        <v>127</v>
      </c>
      <c r="K155" s="6">
        <v>0</v>
      </c>
      <c r="M155" s="70" t="str">
        <f>VLOOKUP(Table3[[#This Row],[Shop Name]],seller!A:A,1,0)</f>
        <v>Rudra Fashion</v>
      </c>
    </row>
    <row r="156" spans="1:13" x14ac:dyDescent="0.2">
      <c r="A156" s="2">
        <v>155</v>
      </c>
      <c r="B156" s="2" t="s">
        <v>719</v>
      </c>
      <c r="C156" s="2" t="s">
        <v>59</v>
      </c>
      <c r="D156" s="2" t="s">
        <v>256</v>
      </c>
      <c r="E156" s="2" t="s">
        <v>251</v>
      </c>
      <c r="F156" s="2" t="s">
        <v>75</v>
      </c>
      <c r="G156" s="2" t="s">
        <v>54</v>
      </c>
      <c r="H156" s="23">
        <v>575</v>
      </c>
      <c r="I156" s="6">
        <v>775</v>
      </c>
      <c r="J156" s="1" t="s">
        <v>163</v>
      </c>
      <c r="K156" s="6">
        <v>675</v>
      </c>
      <c r="L156" s="1" t="s">
        <v>728</v>
      </c>
      <c r="M156" s="70" t="str">
        <f>VLOOKUP(Table3[[#This Row],[Shop Name]],seller!A:A,1,0)</f>
        <v>Rudra Fashion</v>
      </c>
    </row>
    <row r="157" spans="1:13" x14ac:dyDescent="0.2">
      <c r="A157" s="2">
        <v>156</v>
      </c>
      <c r="B157" s="2">
        <v>2</v>
      </c>
      <c r="C157" s="2" t="s">
        <v>59</v>
      </c>
      <c r="D157" s="2" t="s">
        <v>255</v>
      </c>
      <c r="E157" s="2" t="s">
        <v>251</v>
      </c>
      <c r="F157" s="2" t="s">
        <v>75</v>
      </c>
      <c r="G157" s="2" t="s">
        <v>48</v>
      </c>
      <c r="H157" s="23">
        <v>575</v>
      </c>
      <c r="I157" s="6">
        <v>775</v>
      </c>
      <c r="J157" s="1" t="s">
        <v>127</v>
      </c>
      <c r="K157" s="6">
        <v>0</v>
      </c>
      <c r="M157" s="70" t="str">
        <f>VLOOKUP(Table3[[#This Row],[Shop Name]],seller!A:A,1,0)</f>
        <v>Rudra Fashion</v>
      </c>
    </row>
    <row r="158" spans="1:13" x14ac:dyDescent="0.2">
      <c r="A158" s="2">
        <v>157</v>
      </c>
      <c r="B158" s="2">
        <v>8</v>
      </c>
      <c r="C158" s="2" t="s">
        <v>634</v>
      </c>
      <c r="D158" s="2" t="s">
        <v>254</v>
      </c>
      <c r="E158" s="2" t="s">
        <v>252</v>
      </c>
      <c r="F158" s="2" t="s">
        <v>75</v>
      </c>
      <c r="G158" s="2" t="s">
        <v>44</v>
      </c>
      <c r="H158" s="23">
        <v>865</v>
      </c>
      <c r="I158" s="6">
        <v>1075</v>
      </c>
      <c r="J158" s="1" t="s">
        <v>163</v>
      </c>
      <c r="K158" s="6">
        <v>1075</v>
      </c>
      <c r="L158" s="50" t="s">
        <v>325</v>
      </c>
      <c r="M158" s="70" t="str">
        <f>VLOOKUP(Table3[[#This Row],[Shop Name]],seller!A:A,1,0)</f>
        <v>Rudra Fashion</v>
      </c>
    </row>
    <row r="159" spans="1:13" x14ac:dyDescent="0.2">
      <c r="A159" s="2">
        <v>158</v>
      </c>
      <c r="B159" s="2">
        <v>3</v>
      </c>
      <c r="C159" s="2" t="s">
        <v>634</v>
      </c>
      <c r="D159" s="2" t="s">
        <v>253</v>
      </c>
      <c r="E159" s="2" t="s">
        <v>252</v>
      </c>
      <c r="F159" s="2" t="s">
        <v>75</v>
      </c>
      <c r="G159" s="2" t="s">
        <v>48</v>
      </c>
      <c r="H159" s="23">
        <v>690</v>
      </c>
      <c r="I159" s="6">
        <v>910</v>
      </c>
      <c r="J159" s="1" t="s">
        <v>163</v>
      </c>
      <c r="K159" s="6">
        <v>900</v>
      </c>
      <c r="L159" s="50" t="s">
        <v>452</v>
      </c>
      <c r="M159" s="70" t="str">
        <f>VLOOKUP(Table3[[#This Row],[Shop Name]],seller!A:A,1,0)</f>
        <v>Rudra Fashion</v>
      </c>
    </row>
    <row r="160" spans="1:13" ht="32" x14ac:dyDescent="0.2">
      <c r="A160" s="2">
        <v>159</v>
      </c>
      <c r="B160" s="2">
        <v>1</v>
      </c>
      <c r="C160" s="2" t="s">
        <v>46</v>
      </c>
      <c r="D160" s="2" t="s">
        <v>265</v>
      </c>
      <c r="E160" s="2" t="s">
        <v>264</v>
      </c>
      <c r="F160" s="2" t="s">
        <v>75</v>
      </c>
      <c r="G160" s="2" t="s">
        <v>44</v>
      </c>
      <c r="H160" s="23">
        <v>1125</v>
      </c>
      <c r="I160" s="6">
        <v>1425</v>
      </c>
      <c r="J160" s="1" t="s">
        <v>163</v>
      </c>
      <c r="K160" s="6">
        <v>1125</v>
      </c>
      <c r="L160" s="50" t="s">
        <v>333</v>
      </c>
      <c r="M160" s="70" t="str">
        <f>VLOOKUP(Table3[[#This Row],[Shop Name]],seller!A:A,1,0)</f>
        <v>Rudra Fashion</v>
      </c>
    </row>
    <row r="161" spans="1:13" ht="32" x14ac:dyDescent="0.2">
      <c r="A161" s="2">
        <v>160</v>
      </c>
      <c r="B161" s="2">
        <v>1</v>
      </c>
      <c r="C161" s="2" t="s">
        <v>46</v>
      </c>
      <c r="D161" s="2" t="s">
        <v>265</v>
      </c>
      <c r="E161" s="2" t="s">
        <v>264</v>
      </c>
      <c r="F161" s="2" t="s">
        <v>75</v>
      </c>
      <c r="G161" s="2" t="s">
        <v>48</v>
      </c>
      <c r="H161" s="23">
        <v>1125</v>
      </c>
      <c r="I161" s="6">
        <v>1425</v>
      </c>
      <c r="J161" s="1" t="s">
        <v>163</v>
      </c>
      <c r="K161" s="6">
        <v>1125</v>
      </c>
      <c r="L161" s="1" t="s">
        <v>333</v>
      </c>
      <c r="M161" s="70" t="str">
        <f>VLOOKUP(Table3[[#This Row],[Shop Name]],seller!A:A,1,0)</f>
        <v>Rudra Fashion</v>
      </c>
    </row>
    <row r="162" spans="1:13" x14ac:dyDescent="0.2">
      <c r="A162" s="2">
        <v>161</v>
      </c>
      <c r="B162" s="2"/>
      <c r="C162" s="2" t="s">
        <v>576</v>
      </c>
      <c r="D162" s="2" t="s">
        <v>266</v>
      </c>
      <c r="E162" s="2" t="s">
        <v>7</v>
      </c>
      <c r="F162" s="2" t="s">
        <v>75</v>
      </c>
      <c r="G162" s="2" t="s">
        <v>267</v>
      </c>
      <c r="H162" s="23">
        <v>265</v>
      </c>
      <c r="I162" s="6">
        <v>400</v>
      </c>
      <c r="J162" s="1" t="s">
        <v>163</v>
      </c>
      <c r="K162" s="6">
        <v>400</v>
      </c>
      <c r="L162" s="50" t="s">
        <v>215</v>
      </c>
      <c r="M162" s="70" t="str">
        <f>VLOOKUP(Table3[[#This Row],[Shop Name]],seller!A:A,1,0)</f>
        <v>Rudra Fashion</v>
      </c>
    </row>
    <row r="163" spans="1:13" x14ac:dyDescent="0.2">
      <c r="A163" s="2">
        <v>162</v>
      </c>
      <c r="B163" s="2"/>
      <c r="C163" s="2" t="s">
        <v>576</v>
      </c>
      <c r="D163" s="2" t="s">
        <v>268</v>
      </c>
      <c r="E163" s="2" t="s">
        <v>7</v>
      </c>
      <c r="F163" s="2" t="s">
        <v>75</v>
      </c>
      <c r="G163" s="2" t="s">
        <v>267</v>
      </c>
      <c r="H163" s="23">
        <v>265</v>
      </c>
      <c r="I163" s="6">
        <v>450</v>
      </c>
      <c r="J163" s="1" t="s">
        <v>127</v>
      </c>
      <c r="K163" s="6">
        <v>0</v>
      </c>
      <c r="M163" s="70" t="str">
        <f>VLOOKUP(Table3[[#This Row],[Shop Name]],seller!A:A,1,0)</f>
        <v>Rudra Fashion</v>
      </c>
    </row>
    <row r="164" spans="1:13" x14ac:dyDescent="0.2">
      <c r="A164" s="2">
        <v>163</v>
      </c>
      <c r="B164" s="2"/>
      <c r="C164" s="2" t="s">
        <v>576</v>
      </c>
      <c r="D164" s="2" t="s">
        <v>277</v>
      </c>
      <c r="E164" s="2" t="s">
        <v>7</v>
      </c>
      <c r="F164" s="2" t="s">
        <v>75</v>
      </c>
      <c r="G164" s="2" t="s">
        <v>267</v>
      </c>
      <c r="H164" s="23">
        <v>265</v>
      </c>
      <c r="I164" s="6">
        <v>450</v>
      </c>
      <c r="J164" s="1" t="s">
        <v>163</v>
      </c>
      <c r="K164" s="6">
        <v>450</v>
      </c>
      <c r="L164" s="50" t="s">
        <v>214</v>
      </c>
      <c r="M164" s="70" t="str">
        <f>VLOOKUP(Table3[[#This Row],[Shop Name]],seller!A:A,1,0)</f>
        <v>Rudra Fashion</v>
      </c>
    </row>
    <row r="165" spans="1:13" x14ac:dyDescent="0.2">
      <c r="A165" s="2">
        <v>164</v>
      </c>
      <c r="B165" s="2"/>
      <c r="C165" s="2" t="s">
        <v>576</v>
      </c>
      <c r="D165" s="2" t="s">
        <v>278</v>
      </c>
      <c r="E165" s="2" t="s">
        <v>7</v>
      </c>
      <c r="F165" s="2" t="s">
        <v>75</v>
      </c>
      <c r="G165" s="2" t="s">
        <v>267</v>
      </c>
      <c r="H165" s="23">
        <v>265</v>
      </c>
      <c r="I165" s="6">
        <v>450</v>
      </c>
      <c r="J165" s="1" t="s">
        <v>127</v>
      </c>
      <c r="K165" s="6">
        <v>0</v>
      </c>
      <c r="M165" s="70" t="str">
        <f>VLOOKUP(Table3[[#This Row],[Shop Name]],seller!A:A,1,0)</f>
        <v>Rudra Fashion</v>
      </c>
    </row>
    <row r="166" spans="1:13" x14ac:dyDescent="0.2">
      <c r="A166" s="2">
        <v>165</v>
      </c>
      <c r="B166" s="2"/>
      <c r="C166" s="2" t="s">
        <v>576</v>
      </c>
      <c r="D166" s="2" t="s">
        <v>279</v>
      </c>
      <c r="E166" s="2" t="s">
        <v>7</v>
      </c>
      <c r="F166" s="2" t="s">
        <v>75</v>
      </c>
      <c r="G166" s="2" t="s">
        <v>267</v>
      </c>
      <c r="H166" s="23">
        <v>265</v>
      </c>
      <c r="I166" s="6">
        <v>450</v>
      </c>
      <c r="J166" s="1" t="s">
        <v>163</v>
      </c>
      <c r="K166" s="6">
        <v>265</v>
      </c>
      <c r="L166" s="50" t="s">
        <v>333</v>
      </c>
      <c r="M166" s="70" t="str">
        <f>VLOOKUP(Table3[[#This Row],[Shop Name]],seller!A:A,1,0)</f>
        <v>Rudra Fashion</v>
      </c>
    </row>
    <row r="167" spans="1:13" x14ac:dyDescent="0.2">
      <c r="A167" s="2">
        <v>166</v>
      </c>
      <c r="B167" s="2"/>
      <c r="C167" s="2" t="s">
        <v>576</v>
      </c>
      <c r="D167" s="2" t="s">
        <v>266</v>
      </c>
      <c r="E167" s="2" t="s">
        <v>7</v>
      </c>
      <c r="F167" s="2" t="s">
        <v>75</v>
      </c>
      <c r="G167" s="2" t="s">
        <v>267</v>
      </c>
      <c r="H167" s="23">
        <v>265</v>
      </c>
      <c r="I167" s="6">
        <v>450</v>
      </c>
      <c r="J167" s="1" t="s">
        <v>163</v>
      </c>
      <c r="K167" s="6">
        <v>450</v>
      </c>
      <c r="L167" s="50" t="s">
        <v>499</v>
      </c>
      <c r="M167" s="70" t="str">
        <f>VLOOKUP(Table3[[#This Row],[Shop Name]],seller!A:A,1,0)</f>
        <v>Rudra Fashion</v>
      </c>
    </row>
    <row r="168" spans="1:13" ht="32" x14ac:dyDescent="0.2">
      <c r="A168" s="2">
        <v>167</v>
      </c>
      <c r="B168" s="2" t="s">
        <v>885</v>
      </c>
      <c r="C168" s="2" t="s">
        <v>296</v>
      </c>
      <c r="D168" s="2" t="s">
        <v>277</v>
      </c>
      <c r="E168" s="2" t="s">
        <v>7</v>
      </c>
      <c r="F168" s="2" t="s">
        <v>75</v>
      </c>
      <c r="G168" s="2" t="s">
        <v>267</v>
      </c>
      <c r="H168" s="23">
        <v>320</v>
      </c>
      <c r="I168" s="6">
        <v>500</v>
      </c>
      <c r="J168" s="1" t="s">
        <v>163</v>
      </c>
      <c r="K168" s="6">
        <v>495</v>
      </c>
      <c r="L168" s="24" t="s">
        <v>911</v>
      </c>
      <c r="M168" s="70" t="str">
        <f>VLOOKUP(Table3[[#This Row],[Shop Name]],seller!A:A,1,0)</f>
        <v>Rudra Fashion</v>
      </c>
    </row>
    <row r="169" spans="1:13" x14ac:dyDescent="0.2">
      <c r="A169" s="2">
        <v>168</v>
      </c>
      <c r="B169" s="2">
        <v>4</v>
      </c>
      <c r="C169" s="2" t="s">
        <v>634</v>
      </c>
      <c r="D169" s="2" t="s">
        <v>282</v>
      </c>
      <c r="E169" s="2" t="s">
        <v>47</v>
      </c>
      <c r="F169" s="2" t="s">
        <v>75</v>
      </c>
      <c r="G169" s="2" t="s">
        <v>48</v>
      </c>
      <c r="H169" s="23">
        <v>615</v>
      </c>
      <c r="I169" s="6">
        <v>915</v>
      </c>
      <c r="J169" s="1" t="s">
        <v>163</v>
      </c>
      <c r="K169" s="6">
        <v>915</v>
      </c>
      <c r="L169" s="50" t="s">
        <v>372</v>
      </c>
      <c r="M169" s="70" t="str">
        <f>VLOOKUP(Table3[[#This Row],[Shop Name]],seller!A:A,1,0)</f>
        <v>Rudra Fashion</v>
      </c>
    </row>
    <row r="170" spans="1:13" x14ac:dyDescent="0.2">
      <c r="A170" s="2">
        <v>169</v>
      </c>
      <c r="B170" s="2">
        <v>1</v>
      </c>
      <c r="C170" s="2" t="s">
        <v>50</v>
      </c>
      <c r="D170" s="2" t="s">
        <v>577</v>
      </c>
      <c r="E170" s="2" t="s">
        <v>249</v>
      </c>
      <c r="F170" s="2" t="s">
        <v>75</v>
      </c>
      <c r="G170" s="2" t="s">
        <v>44</v>
      </c>
      <c r="H170" s="23">
        <v>1125</v>
      </c>
      <c r="I170" s="6">
        <v>1425</v>
      </c>
      <c r="J170" s="1" t="s">
        <v>163</v>
      </c>
      <c r="K170" s="6">
        <v>1400</v>
      </c>
      <c r="L170" s="50" t="s">
        <v>215</v>
      </c>
      <c r="M170" s="70" t="str">
        <f>VLOOKUP(Table3[[#This Row],[Shop Name]],seller!A:A,1,0)</f>
        <v>Rudra Fashion</v>
      </c>
    </row>
    <row r="171" spans="1:13" x14ac:dyDescent="0.2">
      <c r="A171" s="2">
        <v>170</v>
      </c>
      <c r="B171" s="2">
        <v>2</v>
      </c>
      <c r="C171" s="2" t="s">
        <v>280</v>
      </c>
      <c r="D171" s="2" t="s">
        <v>281</v>
      </c>
      <c r="E171" s="2" t="s">
        <v>642</v>
      </c>
      <c r="F171" s="2" t="s">
        <v>75</v>
      </c>
      <c r="G171" s="2" t="s">
        <v>48</v>
      </c>
      <c r="H171" s="23">
        <v>1205</v>
      </c>
      <c r="I171" s="6">
        <v>1499</v>
      </c>
      <c r="J171" s="1" t="s">
        <v>163</v>
      </c>
      <c r="K171" s="6">
        <v>1439</v>
      </c>
      <c r="L171" s="50" t="s">
        <v>340</v>
      </c>
      <c r="M171" s="70" t="str">
        <f>VLOOKUP(Table3[[#This Row],[Shop Name]],seller!A:A,1,0)</f>
        <v>Rudra Fashion</v>
      </c>
    </row>
    <row r="172" spans="1:13" x14ac:dyDescent="0.2">
      <c r="A172" s="2">
        <v>171</v>
      </c>
      <c r="B172" s="2">
        <v>14</v>
      </c>
      <c r="C172" s="2" t="s">
        <v>59</v>
      </c>
      <c r="D172" s="2" t="s">
        <v>313</v>
      </c>
      <c r="E172" s="2" t="s">
        <v>7</v>
      </c>
      <c r="F172" s="2" t="s">
        <v>75</v>
      </c>
      <c r="G172" s="2" t="s">
        <v>54</v>
      </c>
      <c r="H172" s="23">
        <v>575</v>
      </c>
      <c r="I172" s="6">
        <v>875</v>
      </c>
      <c r="J172" s="1" t="s">
        <v>163</v>
      </c>
      <c r="K172" s="6">
        <v>800</v>
      </c>
      <c r="L172" s="50" t="s">
        <v>388</v>
      </c>
      <c r="M172" s="70" t="str">
        <f>VLOOKUP(Table3[[#This Row],[Shop Name]],seller!A:A,1,0)</f>
        <v>Rudra Fashion</v>
      </c>
    </row>
    <row r="173" spans="1:13" ht="32" x14ac:dyDescent="0.2">
      <c r="A173" s="2">
        <v>172</v>
      </c>
      <c r="B173" s="2">
        <v>5</v>
      </c>
      <c r="C173" s="2" t="s">
        <v>46</v>
      </c>
      <c r="D173" s="2" t="s">
        <v>283</v>
      </c>
      <c r="E173" s="2" t="s">
        <v>251</v>
      </c>
      <c r="F173" s="2" t="s">
        <v>75</v>
      </c>
      <c r="G173" s="2" t="s">
        <v>54</v>
      </c>
      <c r="H173" s="23">
        <v>595</v>
      </c>
      <c r="I173" s="6">
        <v>895</v>
      </c>
      <c r="J173" s="1" t="s">
        <v>127</v>
      </c>
      <c r="K173" s="6">
        <v>0</v>
      </c>
      <c r="M173" s="70" t="str">
        <f>VLOOKUP(Table3[[#This Row],[Shop Name]],seller!A:A,1,0)</f>
        <v>Rudra Fashion</v>
      </c>
    </row>
    <row r="174" spans="1:13" ht="32" x14ac:dyDescent="0.2">
      <c r="A174" s="2">
        <v>173</v>
      </c>
      <c r="B174" s="2" t="s">
        <v>954</v>
      </c>
      <c r="C174" s="2" t="s">
        <v>46</v>
      </c>
      <c r="D174" s="2" t="s">
        <v>284</v>
      </c>
      <c r="E174" s="2" t="s">
        <v>251</v>
      </c>
      <c r="F174" s="2" t="s">
        <v>75</v>
      </c>
      <c r="G174" s="2" t="s">
        <v>54</v>
      </c>
      <c r="H174" s="23">
        <v>595</v>
      </c>
      <c r="I174" s="6">
        <v>895</v>
      </c>
      <c r="J174" s="1" t="s">
        <v>163</v>
      </c>
      <c r="K174" s="6">
        <v>845</v>
      </c>
      <c r="L174" s="1" t="s">
        <v>968</v>
      </c>
      <c r="M174" s="70" t="str">
        <f>VLOOKUP(Table3[[#This Row],[Shop Name]],seller!A:A,1,0)</f>
        <v>Rudra Fashion</v>
      </c>
    </row>
    <row r="175" spans="1:13" ht="32" x14ac:dyDescent="0.2">
      <c r="A175" s="2">
        <v>174</v>
      </c>
      <c r="B175" s="2">
        <v>6</v>
      </c>
      <c r="C175" s="2" t="s">
        <v>46</v>
      </c>
      <c r="D175" s="2" t="s">
        <v>286</v>
      </c>
      <c r="E175" s="2" t="s">
        <v>378</v>
      </c>
      <c r="F175" s="2" t="s">
        <v>75</v>
      </c>
      <c r="G175" s="2" t="s">
        <v>44</v>
      </c>
      <c r="H175" s="23">
        <v>585</v>
      </c>
      <c r="I175" s="6">
        <v>825</v>
      </c>
      <c r="J175" s="1" t="s">
        <v>163</v>
      </c>
      <c r="K175" s="6">
        <v>800</v>
      </c>
      <c r="L175" s="50" t="s">
        <v>215</v>
      </c>
      <c r="M175" s="70" t="str">
        <f>VLOOKUP(Table3[[#This Row],[Shop Name]],seller!A:A,1,0)</f>
        <v>Rudra Fashion</v>
      </c>
    </row>
    <row r="176" spans="1:13" ht="32" x14ac:dyDescent="0.2">
      <c r="A176" s="2">
        <v>175</v>
      </c>
      <c r="B176" s="2">
        <v>6</v>
      </c>
      <c r="C176" s="2" t="s">
        <v>46</v>
      </c>
      <c r="D176" s="2" t="s">
        <v>286</v>
      </c>
      <c r="E176" s="2" t="s">
        <v>378</v>
      </c>
      <c r="F176" s="2" t="s">
        <v>75</v>
      </c>
      <c r="G176" s="2" t="s">
        <v>54</v>
      </c>
      <c r="H176" s="23">
        <v>585</v>
      </c>
      <c r="I176" s="6">
        <v>825</v>
      </c>
      <c r="J176" s="1" t="s">
        <v>163</v>
      </c>
      <c r="K176" s="6">
        <v>800</v>
      </c>
      <c r="L176" s="50" t="s">
        <v>380</v>
      </c>
      <c r="M176" s="70" t="str">
        <f>VLOOKUP(Table3[[#This Row],[Shop Name]],seller!A:A,1,0)</f>
        <v>Rudra Fashion</v>
      </c>
    </row>
    <row r="177" spans="1:13" s="35" customFormat="1" ht="32" x14ac:dyDescent="0.2">
      <c r="A177" s="2">
        <v>176</v>
      </c>
      <c r="B177" s="22">
        <v>3</v>
      </c>
      <c r="C177" s="22" t="s">
        <v>46</v>
      </c>
      <c r="D177" s="22" t="s">
        <v>379</v>
      </c>
      <c r="E177" s="22" t="s">
        <v>378</v>
      </c>
      <c r="F177" s="22" t="s">
        <v>75</v>
      </c>
      <c r="G177" s="22" t="s">
        <v>285</v>
      </c>
      <c r="H177" s="23">
        <v>605</v>
      </c>
      <c r="I177" s="23">
        <v>900</v>
      </c>
      <c r="J177" s="24" t="s">
        <v>163</v>
      </c>
      <c r="K177" s="23">
        <v>900</v>
      </c>
      <c r="L177" s="50" t="s">
        <v>721</v>
      </c>
      <c r="M177" s="70" t="str">
        <f>VLOOKUP(Table3[[#This Row],[Shop Name]],seller!A:A,1,0)</f>
        <v>Rudra Fashion</v>
      </c>
    </row>
    <row r="178" spans="1:13" ht="32" x14ac:dyDescent="0.2">
      <c r="A178" s="2">
        <v>177</v>
      </c>
      <c r="B178" s="2" t="s">
        <v>885</v>
      </c>
      <c r="C178" s="2" t="s">
        <v>59</v>
      </c>
      <c r="D178" s="2" t="s">
        <v>312</v>
      </c>
      <c r="E178" s="2" t="s">
        <v>7</v>
      </c>
      <c r="F178" s="2" t="s">
        <v>75</v>
      </c>
      <c r="G178" s="2" t="s">
        <v>48</v>
      </c>
      <c r="H178" s="23">
        <v>575</v>
      </c>
      <c r="I178" s="6">
        <v>875</v>
      </c>
      <c r="J178" s="1" t="s">
        <v>163</v>
      </c>
      <c r="K178" s="6">
        <v>817</v>
      </c>
      <c r="L178" s="24" t="s">
        <v>552</v>
      </c>
      <c r="M178" s="70" t="str">
        <f>VLOOKUP(Table3[[#This Row],[Shop Name]],seller!A:A,1,0)</f>
        <v>Rudra Fashion</v>
      </c>
    </row>
    <row r="179" spans="1:13" x14ac:dyDescent="0.2">
      <c r="A179" s="2">
        <v>178</v>
      </c>
      <c r="B179" s="2">
        <v>15</v>
      </c>
      <c r="C179" s="2" t="s">
        <v>832</v>
      </c>
      <c r="D179" s="2" t="s">
        <v>287</v>
      </c>
      <c r="E179" s="2" t="s">
        <v>249</v>
      </c>
      <c r="F179" s="2" t="s">
        <v>75</v>
      </c>
      <c r="G179" s="2" t="s">
        <v>49</v>
      </c>
      <c r="H179" s="23">
        <v>755</v>
      </c>
      <c r="I179" s="6">
        <v>1055</v>
      </c>
      <c r="J179" s="1" t="s">
        <v>163</v>
      </c>
      <c r="K179" s="6">
        <v>1011</v>
      </c>
      <c r="L179" s="20" t="s">
        <v>325</v>
      </c>
      <c r="M179" s="70" t="str">
        <f>VLOOKUP(Table3[[#This Row],[Shop Name]],seller!A:A,1,0)</f>
        <v>Rudra Fashion</v>
      </c>
    </row>
    <row r="180" spans="1:13" ht="32" x14ac:dyDescent="0.2">
      <c r="A180" s="2">
        <v>179</v>
      </c>
      <c r="B180" s="8" t="s">
        <v>804</v>
      </c>
      <c r="C180" s="8" t="s">
        <v>46</v>
      </c>
      <c r="D180" s="8" t="s">
        <v>314</v>
      </c>
      <c r="E180" s="2" t="s">
        <v>249</v>
      </c>
      <c r="F180" s="2" t="s">
        <v>75</v>
      </c>
      <c r="G180" s="8" t="s">
        <v>54</v>
      </c>
      <c r="H180" s="42">
        <v>605</v>
      </c>
      <c r="I180" s="9">
        <v>900</v>
      </c>
      <c r="J180" s="39" t="s">
        <v>163</v>
      </c>
      <c r="K180" s="6">
        <v>800</v>
      </c>
      <c r="L180" s="39" t="s">
        <v>812</v>
      </c>
      <c r="M180" s="70" t="str">
        <f>VLOOKUP(Table3[[#This Row],[Shop Name]],seller!A:A,1,0)</f>
        <v>Rudra Fashion</v>
      </c>
    </row>
    <row r="181" spans="1:13" ht="32" x14ac:dyDescent="0.2">
      <c r="A181" s="2">
        <v>180</v>
      </c>
      <c r="B181" s="2">
        <v>8</v>
      </c>
      <c r="C181" s="2" t="s">
        <v>46</v>
      </c>
      <c r="D181" s="2" t="s">
        <v>288</v>
      </c>
      <c r="E181" s="2" t="s">
        <v>378</v>
      </c>
      <c r="F181" s="2" t="s">
        <v>75</v>
      </c>
      <c r="G181" s="2" t="s">
        <v>54</v>
      </c>
      <c r="H181" s="23">
        <v>635</v>
      </c>
      <c r="I181" s="6">
        <v>935</v>
      </c>
      <c r="J181" s="1" t="s">
        <v>163</v>
      </c>
      <c r="K181" s="6">
        <v>635</v>
      </c>
      <c r="L181" s="50" t="s">
        <v>333</v>
      </c>
      <c r="M181" s="70" t="str">
        <f>VLOOKUP(Table3[[#This Row],[Shop Name]],seller!A:A,1,0)</f>
        <v>Rudra Fashion</v>
      </c>
    </row>
    <row r="182" spans="1:13" ht="32" x14ac:dyDescent="0.2">
      <c r="A182" s="2">
        <v>181</v>
      </c>
      <c r="B182" s="2">
        <v>8</v>
      </c>
      <c r="C182" s="2" t="s">
        <v>46</v>
      </c>
      <c r="D182" s="2" t="s">
        <v>297</v>
      </c>
      <c r="E182" s="2" t="s">
        <v>642</v>
      </c>
      <c r="F182" s="2" t="s">
        <v>75</v>
      </c>
      <c r="G182" s="2" t="s">
        <v>54</v>
      </c>
      <c r="H182" s="23">
        <v>980</v>
      </c>
      <c r="I182" s="6">
        <v>1185</v>
      </c>
      <c r="J182" s="1" t="s">
        <v>163</v>
      </c>
      <c r="K182" s="6">
        <v>1125</v>
      </c>
      <c r="L182" s="50" t="s">
        <v>298</v>
      </c>
      <c r="M182" s="70" t="str">
        <f>VLOOKUP(Table3[[#This Row],[Shop Name]],seller!A:A,1,0)</f>
        <v>Rudra Fashion</v>
      </c>
    </row>
    <row r="183" spans="1:13" x14ac:dyDescent="0.2">
      <c r="A183" s="2">
        <v>182</v>
      </c>
      <c r="B183" s="2">
        <v>14</v>
      </c>
      <c r="C183" s="2" t="s">
        <v>59</v>
      </c>
      <c r="D183" s="2" t="s">
        <v>321</v>
      </c>
      <c r="E183" s="2" t="s">
        <v>7</v>
      </c>
      <c r="F183" s="2" t="s">
        <v>75</v>
      </c>
      <c r="G183" s="2" t="s">
        <v>54</v>
      </c>
      <c r="H183" s="23">
        <v>575</v>
      </c>
      <c r="I183" s="6">
        <v>875</v>
      </c>
      <c r="J183" s="1" t="s">
        <v>163</v>
      </c>
      <c r="K183" s="6">
        <v>875</v>
      </c>
      <c r="L183" s="1" t="s">
        <v>660</v>
      </c>
      <c r="M183" s="70" t="str">
        <f>VLOOKUP(Table3[[#This Row],[Shop Name]],seller!A:A,1,0)</f>
        <v>Rudra Fashion</v>
      </c>
    </row>
    <row r="184" spans="1:13" x14ac:dyDescent="0.2">
      <c r="A184" s="2">
        <v>183</v>
      </c>
      <c r="B184" s="2">
        <v>9</v>
      </c>
      <c r="C184" s="2" t="s">
        <v>59</v>
      </c>
      <c r="D184" s="2" t="s">
        <v>289</v>
      </c>
      <c r="E184" s="2" t="s">
        <v>249</v>
      </c>
      <c r="F184" s="2" t="s">
        <v>75</v>
      </c>
      <c r="G184" s="2" t="s">
        <v>54</v>
      </c>
      <c r="H184" s="23">
        <v>690</v>
      </c>
      <c r="I184" s="6">
        <v>999</v>
      </c>
      <c r="J184" s="1" t="s">
        <v>163</v>
      </c>
      <c r="K184" s="6">
        <v>690</v>
      </c>
      <c r="L184" s="50" t="s">
        <v>333</v>
      </c>
      <c r="M184" s="70" t="str">
        <f>VLOOKUP(Table3[[#This Row],[Shop Name]],seller!A:A,1,0)</f>
        <v>Rudra Fashion</v>
      </c>
    </row>
    <row r="185" spans="1:13" x14ac:dyDescent="0.2">
      <c r="A185" s="2">
        <v>184</v>
      </c>
      <c r="B185" s="2">
        <v>9</v>
      </c>
      <c r="C185" s="2" t="s">
        <v>59</v>
      </c>
      <c r="D185" s="2" t="s">
        <v>290</v>
      </c>
      <c r="E185" s="2" t="s">
        <v>249</v>
      </c>
      <c r="F185" s="2" t="s">
        <v>75</v>
      </c>
      <c r="G185" s="2" t="s">
        <v>44</v>
      </c>
      <c r="H185" s="23">
        <v>690</v>
      </c>
      <c r="I185" s="6">
        <v>890</v>
      </c>
      <c r="J185" s="1" t="s">
        <v>163</v>
      </c>
      <c r="K185" s="6">
        <v>840</v>
      </c>
      <c r="L185" s="20" t="s">
        <v>325</v>
      </c>
      <c r="M185" s="70" t="str">
        <f>VLOOKUP(Table3[[#This Row],[Shop Name]],seller!A:A,1,0)</f>
        <v>Rudra Fashion</v>
      </c>
    </row>
    <row r="186" spans="1:13" x14ac:dyDescent="0.2">
      <c r="A186" s="2">
        <v>185</v>
      </c>
      <c r="B186" s="2">
        <v>12</v>
      </c>
      <c r="C186" s="2" t="s">
        <v>59</v>
      </c>
      <c r="D186" s="2" t="s">
        <v>291</v>
      </c>
      <c r="E186" s="2" t="s">
        <v>249</v>
      </c>
      <c r="F186" s="2" t="s">
        <v>75</v>
      </c>
      <c r="G186" s="2" t="s">
        <v>44</v>
      </c>
      <c r="H186" s="23">
        <v>690</v>
      </c>
      <c r="I186" s="6">
        <v>890</v>
      </c>
      <c r="J186" s="1" t="s">
        <v>163</v>
      </c>
      <c r="K186" s="6">
        <v>834</v>
      </c>
      <c r="L186" s="50" t="s">
        <v>392</v>
      </c>
      <c r="M186" s="70" t="str">
        <f>VLOOKUP(Table3[[#This Row],[Shop Name]],seller!A:A,1,0)</f>
        <v>Rudra Fashion</v>
      </c>
    </row>
    <row r="187" spans="1:13" x14ac:dyDescent="0.2">
      <c r="A187" s="2">
        <v>186</v>
      </c>
      <c r="B187" s="2">
        <v>11</v>
      </c>
      <c r="C187" s="2" t="s">
        <v>43</v>
      </c>
      <c r="D187" s="2" t="s">
        <v>292</v>
      </c>
      <c r="E187" s="2" t="s">
        <v>315</v>
      </c>
      <c r="F187" s="2" t="s">
        <v>75</v>
      </c>
      <c r="G187" s="2" t="s">
        <v>44</v>
      </c>
      <c r="H187" s="23">
        <v>635</v>
      </c>
      <c r="I187" s="6">
        <v>935</v>
      </c>
      <c r="J187" s="1" t="s">
        <v>163</v>
      </c>
      <c r="K187" s="6">
        <v>890</v>
      </c>
      <c r="L187" s="50" t="s">
        <v>330</v>
      </c>
      <c r="M187" s="70" t="str">
        <f>VLOOKUP(Table3[[#This Row],[Shop Name]],seller!A:A,1,0)</f>
        <v>Rudra Fashion</v>
      </c>
    </row>
    <row r="188" spans="1:13" x14ac:dyDescent="0.2">
      <c r="A188" s="2">
        <v>187</v>
      </c>
      <c r="B188" s="2">
        <v>13</v>
      </c>
      <c r="C188" s="2" t="s">
        <v>43</v>
      </c>
      <c r="D188" s="2" t="s">
        <v>293</v>
      </c>
      <c r="E188" s="2" t="s">
        <v>249</v>
      </c>
      <c r="F188" s="2" t="s">
        <v>75</v>
      </c>
      <c r="G188" s="2" t="s">
        <v>48</v>
      </c>
      <c r="H188" s="23">
        <v>435</v>
      </c>
      <c r="I188" s="6">
        <v>750</v>
      </c>
      <c r="J188" s="1" t="s">
        <v>163</v>
      </c>
      <c r="K188" s="6">
        <v>700</v>
      </c>
      <c r="L188" s="50" t="s">
        <v>320</v>
      </c>
      <c r="M188" s="70" t="str">
        <f>VLOOKUP(Table3[[#This Row],[Shop Name]],seller!A:A,1,0)</f>
        <v>Rudra Fashion</v>
      </c>
    </row>
    <row r="189" spans="1:13" x14ac:dyDescent="0.2">
      <c r="A189" s="2">
        <v>188</v>
      </c>
      <c r="B189" s="2">
        <v>13</v>
      </c>
      <c r="C189" s="2" t="s">
        <v>43</v>
      </c>
      <c r="D189" s="2" t="s">
        <v>294</v>
      </c>
      <c r="E189" s="2" t="s">
        <v>249</v>
      </c>
      <c r="F189" s="2" t="s">
        <v>75</v>
      </c>
      <c r="G189" s="2" t="s">
        <v>48</v>
      </c>
      <c r="H189" s="23">
        <v>435</v>
      </c>
      <c r="I189" s="6">
        <v>750</v>
      </c>
      <c r="J189" s="1" t="s">
        <v>163</v>
      </c>
      <c r="K189" s="6">
        <v>750</v>
      </c>
      <c r="L189" s="50" t="s">
        <v>339</v>
      </c>
      <c r="M189" s="70" t="str">
        <f>VLOOKUP(Table3[[#This Row],[Shop Name]],seller!A:A,1,0)</f>
        <v>Rudra Fashion</v>
      </c>
    </row>
    <row r="190" spans="1:13" x14ac:dyDescent="0.2">
      <c r="A190" s="2">
        <v>189</v>
      </c>
      <c r="B190" s="2">
        <v>13</v>
      </c>
      <c r="C190" s="2" t="s">
        <v>43</v>
      </c>
      <c r="D190" s="2" t="s">
        <v>295</v>
      </c>
      <c r="E190" s="2" t="s">
        <v>249</v>
      </c>
      <c r="F190" s="2" t="s">
        <v>75</v>
      </c>
      <c r="G190" s="2" t="s">
        <v>48</v>
      </c>
      <c r="H190" s="23">
        <v>435</v>
      </c>
      <c r="I190" s="6">
        <v>750</v>
      </c>
      <c r="J190" s="1" t="s">
        <v>163</v>
      </c>
      <c r="K190" s="6">
        <v>750</v>
      </c>
      <c r="L190" s="50" t="s">
        <v>513</v>
      </c>
      <c r="M190" s="70" t="str">
        <f>VLOOKUP(Table3[[#This Row],[Shop Name]],seller!A:A,1,0)</f>
        <v>Rudra Fashion</v>
      </c>
    </row>
    <row r="191" spans="1:13" x14ac:dyDescent="0.2">
      <c r="A191" s="2">
        <v>190</v>
      </c>
      <c r="B191" s="2">
        <v>1</v>
      </c>
      <c r="C191" s="2" t="s">
        <v>832</v>
      </c>
      <c r="D191" s="2" t="s">
        <v>302</v>
      </c>
      <c r="E191" s="2" t="s">
        <v>303</v>
      </c>
      <c r="F191" s="2" t="s">
        <v>300</v>
      </c>
      <c r="G191" s="2" t="s">
        <v>54</v>
      </c>
      <c r="H191" s="23">
        <v>1145</v>
      </c>
      <c r="I191" s="6">
        <v>1445</v>
      </c>
      <c r="J191" s="1" t="s">
        <v>163</v>
      </c>
      <c r="K191" s="6">
        <v>1400</v>
      </c>
      <c r="L191" s="50" t="s">
        <v>298</v>
      </c>
      <c r="M191" s="70" t="str">
        <f>VLOOKUP(Table3[[#This Row],[Shop Name]],seller!A:A,1,0)</f>
        <v>Apna Andaaz</v>
      </c>
    </row>
    <row r="192" spans="1:13" x14ac:dyDescent="0.2">
      <c r="A192" s="2">
        <v>191</v>
      </c>
      <c r="B192" s="2">
        <v>2</v>
      </c>
      <c r="C192" s="2" t="s">
        <v>832</v>
      </c>
      <c r="D192" s="2" t="s">
        <v>304</v>
      </c>
      <c r="E192" s="2" t="s">
        <v>249</v>
      </c>
      <c r="F192" s="2" t="s">
        <v>300</v>
      </c>
      <c r="G192" s="2" t="s">
        <v>54</v>
      </c>
      <c r="H192" s="23">
        <v>795</v>
      </c>
      <c r="I192" s="6">
        <v>1095</v>
      </c>
      <c r="J192" s="1" t="s">
        <v>163</v>
      </c>
      <c r="K192" s="6">
        <v>795</v>
      </c>
      <c r="L192" s="50" t="s">
        <v>450</v>
      </c>
      <c r="M192" s="70" t="str">
        <f>VLOOKUP(Table3[[#This Row],[Shop Name]],seller!A:A,1,0)</f>
        <v>Apna Andaaz</v>
      </c>
    </row>
    <row r="193" spans="1:13" x14ac:dyDescent="0.2">
      <c r="A193" s="2">
        <v>192</v>
      </c>
      <c r="B193" s="2">
        <v>2</v>
      </c>
      <c r="C193" s="2" t="s">
        <v>832</v>
      </c>
      <c r="D193" s="2" t="s">
        <v>304</v>
      </c>
      <c r="E193" s="2" t="s">
        <v>249</v>
      </c>
      <c r="F193" s="2" t="s">
        <v>300</v>
      </c>
      <c r="G193" s="2" t="s">
        <v>49</v>
      </c>
      <c r="H193" s="23">
        <v>795</v>
      </c>
      <c r="I193" s="6">
        <v>1095</v>
      </c>
      <c r="J193" s="1" t="s">
        <v>163</v>
      </c>
      <c r="K193" s="6">
        <v>795</v>
      </c>
      <c r="L193" s="50" t="s">
        <v>333</v>
      </c>
      <c r="M193" s="70" t="str">
        <f>VLOOKUP(Table3[[#This Row],[Shop Name]],seller!A:A,1,0)</f>
        <v>Apna Andaaz</v>
      </c>
    </row>
    <row r="194" spans="1:13" x14ac:dyDescent="0.2">
      <c r="A194" s="2">
        <v>193</v>
      </c>
      <c r="B194" s="2" t="s">
        <v>686</v>
      </c>
      <c r="C194" s="2" t="s">
        <v>634</v>
      </c>
      <c r="D194" s="2" t="s">
        <v>305</v>
      </c>
      <c r="E194" s="2" t="s">
        <v>249</v>
      </c>
      <c r="F194" s="2" t="s">
        <v>300</v>
      </c>
      <c r="G194" s="2" t="s">
        <v>49</v>
      </c>
      <c r="H194" s="23">
        <v>1450</v>
      </c>
      <c r="I194" s="6">
        <v>1750</v>
      </c>
      <c r="J194" s="1" t="s">
        <v>163</v>
      </c>
      <c r="K194" s="6">
        <v>1600</v>
      </c>
      <c r="L194" s="1" t="s">
        <v>695</v>
      </c>
      <c r="M194" s="70" t="str">
        <f>VLOOKUP(Table3[[#This Row],[Shop Name]],seller!A:A,1,0)</f>
        <v>Apna Andaaz</v>
      </c>
    </row>
    <row r="195" spans="1:13" x14ac:dyDescent="0.2">
      <c r="A195" s="2">
        <v>194</v>
      </c>
      <c r="B195" s="2">
        <v>4</v>
      </c>
      <c r="C195" s="2" t="s">
        <v>832</v>
      </c>
      <c r="D195" s="2" t="s">
        <v>307</v>
      </c>
      <c r="E195" s="2" t="s">
        <v>249</v>
      </c>
      <c r="F195" s="2" t="s">
        <v>300</v>
      </c>
      <c r="G195" s="2" t="s">
        <v>49</v>
      </c>
      <c r="H195" s="23">
        <v>995</v>
      </c>
      <c r="I195" s="6">
        <v>1350</v>
      </c>
      <c r="J195" s="1" t="s">
        <v>163</v>
      </c>
      <c r="K195" s="6">
        <v>995</v>
      </c>
      <c r="L195" s="1" t="s">
        <v>333</v>
      </c>
      <c r="M195" s="70" t="str">
        <f>VLOOKUP(Table3[[#This Row],[Shop Name]],seller!A:A,1,0)</f>
        <v>Apna Andaaz</v>
      </c>
    </row>
    <row r="196" spans="1:13" x14ac:dyDescent="0.2">
      <c r="A196" s="2">
        <v>195</v>
      </c>
      <c r="B196" s="2">
        <v>4</v>
      </c>
      <c r="C196" s="2" t="s">
        <v>832</v>
      </c>
      <c r="D196" s="2" t="s">
        <v>307</v>
      </c>
      <c r="E196" s="2" t="s">
        <v>249</v>
      </c>
      <c r="F196" s="2" t="s">
        <v>300</v>
      </c>
      <c r="G196" s="2" t="s">
        <v>44</v>
      </c>
      <c r="H196" s="23">
        <v>995</v>
      </c>
      <c r="I196" s="6">
        <v>1350</v>
      </c>
      <c r="J196" s="1" t="s">
        <v>127</v>
      </c>
      <c r="K196" s="6">
        <v>0</v>
      </c>
      <c r="M196" s="70" t="str">
        <f>VLOOKUP(Table3[[#This Row],[Shop Name]],seller!A:A,1,0)</f>
        <v>Apna Andaaz</v>
      </c>
    </row>
    <row r="197" spans="1:13" x14ac:dyDescent="0.2">
      <c r="A197" s="2">
        <v>196</v>
      </c>
      <c r="B197" s="2" t="s">
        <v>686</v>
      </c>
      <c r="C197" s="2" t="s">
        <v>832</v>
      </c>
      <c r="D197" s="2" t="s">
        <v>308</v>
      </c>
      <c r="E197" s="2" t="s">
        <v>306</v>
      </c>
      <c r="F197" s="2" t="s">
        <v>300</v>
      </c>
      <c r="G197" s="2" t="s">
        <v>48</v>
      </c>
      <c r="H197" s="23">
        <v>1400</v>
      </c>
      <c r="I197" s="6">
        <v>1600</v>
      </c>
      <c r="J197" s="1" t="s">
        <v>163</v>
      </c>
      <c r="K197" s="6">
        <v>1460</v>
      </c>
      <c r="L197" s="1" t="s">
        <v>695</v>
      </c>
      <c r="M197" s="70" t="str">
        <f>VLOOKUP(Table3[[#This Row],[Shop Name]],seller!A:A,1,0)</f>
        <v>Apna Andaaz</v>
      </c>
    </row>
    <row r="198" spans="1:13" ht="32" x14ac:dyDescent="0.2">
      <c r="A198" s="2">
        <v>197</v>
      </c>
      <c r="B198" s="2">
        <v>6</v>
      </c>
      <c r="C198" s="2" t="s">
        <v>46</v>
      </c>
      <c r="D198" s="2" t="s">
        <v>309</v>
      </c>
      <c r="E198" s="2" t="s">
        <v>249</v>
      </c>
      <c r="F198" s="2" t="s">
        <v>300</v>
      </c>
      <c r="G198" s="2" t="s">
        <v>49</v>
      </c>
      <c r="H198" s="23">
        <v>595</v>
      </c>
      <c r="I198" s="6">
        <v>950</v>
      </c>
      <c r="J198" s="1" t="s">
        <v>163</v>
      </c>
      <c r="K198" s="6">
        <v>595</v>
      </c>
      <c r="L198" s="50" t="s">
        <v>333</v>
      </c>
      <c r="M198" s="70" t="str">
        <f>VLOOKUP(Table3[[#This Row],[Shop Name]],seller!A:A,1,0)</f>
        <v>Apna Andaaz</v>
      </c>
    </row>
    <row r="199" spans="1:13" ht="32" x14ac:dyDescent="0.2">
      <c r="A199" s="2">
        <v>198</v>
      </c>
      <c r="B199" s="2">
        <v>7</v>
      </c>
      <c r="C199" s="2" t="s">
        <v>46</v>
      </c>
      <c r="D199" s="2" t="s">
        <v>310</v>
      </c>
      <c r="E199" s="2" t="s">
        <v>249</v>
      </c>
      <c r="F199" s="2" t="s">
        <v>300</v>
      </c>
      <c r="G199" s="2" t="s">
        <v>54</v>
      </c>
      <c r="H199" s="23">
        <v>495</v>
      </c>
      <c r="I199" s="6">
        <v>850</v>
      </c>
      <c r="J199" s="1" t="s">
        <v>163</v>
      </c>
      <c r="K199" s="6">
        <v>825</v>
      </c>
      <c r="L199" s="1" t="s">
        <v>650</v>
      </c>
      <c r="M199" s="70" t="str">
        <f>VLOOKUP(Table3[[#This Row],[Shop Name]],seller!A:A,1,0)</f>
        <v>Apna Andaaz</v>
      </c>
    </row>
    <row r="200" spans="1:13" ht="32" x14ac:dyDescent="0.2">
      <c r="A200" s="2">
        <v>199</v>
      </c>
      <c r="B200" s="2">
        <v>7</v>
      </c>
      <c r="C200" s="2" t="s">
        <v>46</v>
      </c>
      <c r="D200" s="2" t="s">
        <v>311</v>
      </c>
      <c r="E200" s="2" t="s">
        <v>249</v>
      </c>
      <c r="F200" s="2" t="s">
        <v>300</v>
      </c>
      <c r="G200" s="2" t="s">
        <v>54</v>
      </c>
      <c r="H200" s="23">
        <v>495</v>
      </c>
      <c r="I200" s="6">
        <v>850</v>
      </c>
      <c r="J200" s="1" t="s">
        <v>163</v>
      </c>
      <c r="K200" s="6">
        <v>495</v>
      </c>
      <c r="L200" s="50" t="s">
        <v>177</v>
      </c>
      <c r="M200" s="70" t="str">
        <f>VLOOKUP(Table3[[#This Row],[Shop Name]],seller!A:A,1,0)</f>
        <v>Apna Andaaz</v>
      </c>
    </row>
    <row r="201" spans="1:13" x14ac:dyDescent="0.2">
      <c r="A201" s="2">
        <v>200</v>
      </c>
      <c r="B201" s="2">
        <v>2</v>
      </c>
      <c r="C201" s="2" t="s">
        <v>280</v>
      </c>
      <c r="D201" s="2" t="s">
        <v>336</v>
      </c>
      <c r="E201" s="2" t="s">
        <v>642</v>
      </c>
      <c r="F201" s="2" t="s">
        <v>61</v>
      </c>
      <c r="G201" s="2" t="s">
        <v>44</v>
      </c>
      <c r="H201" s="23">
        <v>1100</v>
      </c>
      <c r="I201" s="6">
        <v>1499</v>
      </c>
      <c r="J201" s="1" t="s">
        <v>163</v>
      </c>
      <c r="K201" s="6">
        <v>1100</v>
      </c>
      <c r="L201" s="50" t="s">
        <v>333</v>
      </c>
      <c r="M201" s="70" t="str">
        <f>VLOOKUP(Table3[[#This Row],[Shop Name]],seller!A:A,1,0)</f>
        <v>RV Fashion</v>
      </c>
    </row>
    <row r="202" spans="1:13" x14ac:dyDescent="0.2">
      <c r="A202" s="2">
        <v>201</v>
      </c>
      <c r="B202" s="2">
        <v>2</v>
      </c>
      <c r="C202" s="2" t="s">
        <v>280</v>
      </c>
      <c r="D202" s="2" t="s">
        <v>337</v>
      </c>
      <c r="E202" s="2" t="s">
        <v>642</v>
      </c>
      <c r="F202" s="2" t="s">
        <v>61</v>
      </c>
      <c r="G202" s="2" t="s">
        <v>44</v>
      </c>
      <c r="H202" s="23">
        <v>1100</v>
      </c>
      <c r="I202" s="6">
        <v>1499</v>
      </c>
      <c r="J202" s="1" t="s">
        <v>163</v>
      </c>
      <c r="K202" s="6">
        <v>1449</v>
      </c>
      <c r="L202" s="20" t="s">
        <v>325</v>
      </c>
      <c r="M202" s="70" t="str">
        <f>VLOOKUP(Table3[[#This Row],[Shop Name]],seller!A:A,1,0)</f>
        <v>RV Fashion</v>
      </c>
    </row>
    <row r="203" spans="1:13" x14ac:dyDescent="0.2">
      <c r="A203" s="2">
        <v>202</v>
      </c>
      <c r="B203" s="2">
        <v>2</v>
      </c>
      <c r="C203" s="2" t="s">
        <v>280</v>
      </c>
      <c r="D203" s="2" t="s">
        <v>338</v>
      </c>
      <c r="E203" s="2" t="s">
        <v>642</v>
      </c>
      <c r="F203" s="2" t="s">
        <v>61</v>
      </c>
      <c r="G203" s="2" t="s">
        <v>48</v>
      </c>
      <c r="H203" s="23">
        <v>1100</v>
      </c>
      <c r="I203" s="6">
        <v>1499</v>
      </c>
      <c r="J203" s="1" t="s">
        <v>163</v>
      </c>
      <c r="K203" s="6">
        <v>1100</v>
      </c>
      <c r="L203" s="50" t="s">
        <v>333</v>
      </c>
      <c r="M203" s="70" t="str">
        <f>VLOOKUP(Table3[[#This Row],[Shop Name]],seller!A:A,1,0)</f>
        <v>RV Fashion</v>
      </c>
    </row>
    <row r="204" spans="1:13" ht="32" x14ac:dyDescent="0.2">
      <c r="A204" s="2">
        <v>203</v>
      </c>
      <c r="B204" s="2">
        <v>1</v>
      </c>
      <c r="C204" s="2" t="s">
        <v>46</v>
      </c>
      <c r="D204" s="2" t="s">
        <v>349</v>
      </c>
      <c r="E204" s="2" t="s">
        <v>642</v>
      </c>
      <c r="F204" s="2" t="s">
        <v>61</v>
      </c>
      <c r="G204" s="2" t="s">
        <v>44</v>
      </c>
      <c r="H204" s="23">
        <v>720</v>
      </c>
      <c r="I204" s="6">
        <v>1050</v>
      </c>
      <c r="J204" s="1" t="s">
        <v>163</v>
      </c>
      <c r="K204" s="6">
        <v>1050</v>
      </c>
      <c r="L204" s="1" t="s">
        <v>653</v>
      </c>
      <c r="M204" s="70" t="str">
        <f>VLOOKUP(Table3[[#This Row],[Shop Name]],seller!A:A,1,0)</f>
        <v>RV Fashion</v>
      </c>
    </row>
    <row r="205" spans="1:13" ht="32" x14ac:dyDescent="0.2">
      <c r="A205" s="2">
        <v>204</v>
      </c>
      <c r="B205" s="2" t="s">
        <v>686</v>
      </c>
      <c r="C205" s="2" t="s">
        <v>46</v>
      </c>
      <c r="D205" s="2" t="s">
        <v>349</v>
      </c>
      <c r="E205" s="2" t="s">
        <v>642</v>
      </c>
      <c r="F205" s="2" t="s">
        <v>61</v>
      </c>
      <c r="G205" s="2" t="s">
        <v>54</v>
      </c>
      <c r="H205" s="23">
        <v>720</v>
      </c>
      <c r="I205" s="6">
        <v>1050</v>
      </c>
      <c r="J205" s="1" t="s">
        <v>163</v>
      </c>
      <c r="K205" s="6">
        <v>1000</v>
      </c>
      <c r="L205" s="1" t="s">
        <v>690</v>
      </c>
      <c r="M205" s="70" t="str">
        <f>VLOOKUP(Table3[[#This Row],[Shop Name]],seller!A:A,1,0)</f>
        <v>RV Fashion</v>
      </c>
    </row>
    <row r="206" spans="1:13" ht="32" x14ac:dyDescent="0.2">
      <c r="A206" s="2">
        <v>205</v>
      </c>
      <c r="B206" s="2">
        <v>7</v>
      </c>
      <c r="C206" s="2" t="s">
        <v>46</v>
      </c>
      <c r="D206" s="2" t="s">
        <v>348</v>
      </c>
      <c r="E206" s="2" t="s">
        <v>642</v>
      </c>
      <c r="F206" s="2" t="s">
        <v>75</v>
      </c>
      <c r="G206" s="2" t="s">
        <v>48</v>
      </c>
      <c r="H206" s="23">
        <v>785</v>
      </c>
      <c r="I206" s="6">
        <v>1050</v>
      </c>
      <c r="J206" s="1" t="s">
        <v>163</v>
      </c>
      <c r="K206" s="6">
        <v>1050</v>
      </c>
      <c r="L206" s="50" t="s">
        <v>435</v>
      </c>
      <c r="M206" s="70" t="str">
        <f>VLOOKUP(Table3[[#This Row],[Shop Name]],seller!A:A,1,0)</f>
        <v>Rudra Fashion</v>
      </c>
    </row>
    <row r="207" spans="1:13" ht="32" x14ac:dyDescent="0.2">
      <c r="A207" s="2">
        <v>206</v>
      </c>
      <c r="B207" s="2" t="s">
        <v>804</v>
      </c>
      <c r="C207" s="2" t="s">
        <v>46</v>
      </c>
      <c r="D207" s="2" t="s">
        <v>348</v>
      </c>
      <c r="E207" s="2" t="s">
        <v>642</v>
      </c>
      <c r="F207" s="2" t="s">
        <v>75</v>
      </c>
      <c r="G207" s="2" t="s">
        <v>56</v>
      </c>
      <c r="H207" s="23">
        <v>785</v>
      </c>
      <c r="I207" s="6">
        <v>1150</v>
      </c>
      <c r="J207" s="1" t="s">
        <v>163</v>
      </c>
      <c r="K207" s="6">
        <v>1020</v>
      </c>
      <c r="L207" s="1" t="s">
        <v>807</v>
      </c>
      <c r="M207" s="70" t="str">
        <f>VLOOKUP(Table3[[#This Row],[Shop Name]],seller!A:A,1,0)</f>
        <v>Rudra Fashion</v>
      </c>
    </row>
    <row r="208" spans="1:13" x14ac:dyDescent="0.2">
      <c r="A208" s="2">
        <v>207</v>
      </c>
      <c r="B208" s="8">
        <v>8</v>
      </c>
      <c r="C208" s="2" t="s">
        <v>50</v>
      </c>
      <c r="D208" s="8" t="s">
        <v>350</v>
      </c>
      <c r="E208" s="8" t="s">
        <v>252</v>
      </c>
      <c r="F208" s="8" t="s">
        <v>75</v>
      </c>
      <c r="G208" s="8" t="s">
        <v>44</v>
      </c>
      <c r="H208" s="42">
        <v>955</v>
      </c>
      <c r="I208" s="9">
        <v>1299</v>
      </c>
      <c r="J208" s="39" t="s">
        <v>163</v>
      </c>
      <c r="K208" s="9">
        <v>1299</v>
      </c>
      <c r="L208" s="54" t="s">
        <v>375</v>
      </c>
      <c r="M208" s="70" t="str">
        <f>VLOOKUP(Table3[[#This Row],[Shop Name]],seller!A:A,1,0)</f>
        <v>Rudra Fashion</v>
      </c>
    </row>
    <row r="209" spans="1:13" x14ac:dyDescent="0.2">
      <c r="A209" s="2">
        <v>208</v>
      </c>
      <c r="B209" s="8">
        <v>9</v>
      </c>
      <c r="C209" s="2" t="s">
        <v>50</v>
      </c>
      <c r="D209" s="43" t="s">
        <v>351</v>
      </c>
      <c r="E209" s="8" t="s">
        <v>252</v>
      </c>
      <c r="F209" s="8" t="s">
        <v>75</v>
      </c>
      <c r="G209" s="8" t="s">
        <v>285</v>
      </c>
      <c r="H209" s="42">
        <v>985</v>
      </c>
      <c r="I209" s="9">
        <v>1385</v>
      </c>
      <c r="J209" s="39" t="s">
        <v>163</v>
      </c>
      <c r="K209" s="9">
        <v>1385</v>
      </c>
      <c r="L209" s="54" t="s">
        <v>376</v>
      </c>
      <c r="M209" s="70" t="str">
        <f>VLOOKUP(Table3[[#This Row],[Shop Name]],seller!A:A,1,0)</f>
        <v>Rudra Fashion</v>
      </c>
    </row>
    <row r="210" spans="1:13" x14ac:dyDescent="0.2">
      <c r="A210" s="2">
        <v>209</v>
      </c>
      <c r="B210" s="2" t="s">
        <v>719</v>
      </c>
      <c r="C210" s="2" t="s">
        <v>50</v>
      </c>
      <c r="D210" s="8" t="s">
        <v>704</v>
      </c>
      <c r="E210" s="8" t="s">
        <v>252</v>
      </c>
      <c r="F210" s="8" t="s">
        <v>75</v>
      </c>
      <c r="G210" s="8" t="s">
        <v>341</v>
      </c>
      <c r="H210" s="42">
        <v>985</v>
      </c>
      <c r="I210" s="9">
        <v>1385</v>
      </c>
      <c r="J210" s="39" t="s">
        <v>163</v>
      </c>
      <c r="K210" s="6">
        <v>1320</v>
      </c>
      <c r="L210" s="39" t="s">
        <v>718</v>
      </c>
      <c r="M210" s="70" t="str">
        <f>VLOOKUP(Table3[[#This Row],[Shop Name]],seller!A:A,1,0)</f>
        <v>Rudra Fashion</v>
      </c>
    </row>
    <row r="211" spans="1:13" x14ac:dyDescent="0.2">
      <c r="A211" s="2">
        <v>210</v>
      </c>
      <c r="B211" s="2">
        <v>11</v>
      </c>
      <c r="C211" s="22" t="s">
        <v>59</v>
      </c>
      <c r="D211" s="22" t="s">
        <v>343</v>
      </c>
      <c r="E211" s="22" t="s">
        <v>7</v>
      </c>
      <c r="F211" s="22" t="s">
        <v>75</v>
      </c>
      <c r="G211" s="22" t="s">
        <v>56</v>
      </c>
      <c r="H211" s="23">
        <v>555</v>
      </c>
      <c r="I211" s="23">
        <v>899</v>
      </c>
      <c r="J211" s="24" t="s">
        <v>127</v>
      </c>
      <c r="K211" s="6">
        <v>0</v>
      </c>
      <c r="M211" s="70" t="str">
        <f>VLOOKUP(Table3[[#This Row],[Shop Name]],seller!A:A,1,0)</f>
        <v>Rudra Fashion</v>
      </c>
    </row>
    <row r="212" spans="1:13" x14ac:dyDescent="0.2">
      <c r="A212" s="2">
        <v>211</v>
      </c>
      <c r="B212" s="2">
        <v>12</v>
      </c>
      <c r="C212" s="22" t="s">
        <v>59</v>
      </c>
      <c r="D212" s="22" t="s">
        <v>342</v>
      </c>
      <c r="E212" s="22" t="s">
        <v>7</v>
      </c>
      <c r="F212" s="22" t="s">
        <v>75</v>
      </c>
      <c r="G212" s="22" t="s">
        <v>54</v>
      </c>
      <c r="H212" s="23">
        <v>465</v>
      </c>
      <c r="I212" s="23">
        <v>799</v>
      </c>
      <c r="J212" s="24" t="s">
        <v>163</v>
      </c>
      <c r="K212" s="6">
        <v>465</v>
      </c>
      <c r="L212" s="1" t="s">
        <v>333</v>
      </c>
      <c r="M212" s="70" t="str">
        <f>VLOOKUP(Table3[[#This Row],[Shop Name]],seller!A:A,1,0)</f>
        <v>Rudra Fashion</v>
      </c>
    </row>
    <row r="213" spans="1:13" ht="32" x14ac:dyDescent="0.2">
      <c r="A213" s="2">
        <v>212</v>
      </c>
      <c r="B213" s="2"/>
      <c r="C213" s="2" t="s">
        <v>46</v>
      </c>
      <c r="D213" s="2" t="s">
        <v>344</v>
      </c>
      <c r="E213" s="22" t="s">
        <v>7</v>
      </c>
      <c r="F213" s="22" t="s">
        <v>75</v>
      </c>
      <c r="G213" s="2" t="s">
        <v>54</v>
      </c>
      <c r="H213" s="23">
        <v>605</v>
      </c>
      <c r="I213" s="6">
        <v>950</v>
      </c>
      <c r="J213" s="1" t="s">
        <v>163</v>
      </c>
      <c r="K213" s="6">
        <v>605</v>
      </c>
      <c r="L213" s="50" t="s">
        <v>333</v>
      </c>
      <c r="M213" s="70" t="str">
        <f>VLOOKUP(Table3[[#This Row],[Shop Name]],seller!A:A,1,0)</f>
        <v>Rudra Fashion</v>
      </c>
    </row>
    <row r="214" spans="1:13" ht="32" x14ac:dyDescent="0.2">
      <c r="A214" s="2">
        <v>213</v>
      </c>
      <c r="B214" s="2">
        <v>17</v>
      </c>
      <c r="C214" s="2" t="s">
        <v>46</v>
      </c>
      <c r="D214" s="2" t="s">
        <v>345</v>
      </c>
      <c r="E214" s="22" t="s">
        <v>7</v>
      </c>
      <c r="F214" s="22" t="s">
        <v>75</v>
      </c>
      <c r="G214" s="2" t="s">
        <v>44</v>
      </c>
      <c r="H214" s="23">
        <v>605</v>
      </c>
      <c r="I214" s="6">
        <v>950</v>
      </c>
      <c r="J214" s="1" t="s">
        <v>163</v>
      </c>
      <c r="K214" s="6">
        <v>950</v>
      </c>
      <c r="L214" s="50" t="s">
        <v>544</v>
      </c>
      <c r="M214" s="70" t="str">
        <f>VLOOKUP(Table3[[#This Row],[Shop Name]],seller!A:A,1,0)</f>
        <v>Rudra Fashion</v>
      </c>
    </row>
    <row r="215" spans="1:13" x14ac:dyDescent="0.2">
      <c r="A215" s="2">
        <v>214</v>
      </c>
      <c r="B215" s="2">
        <v>1</v>
      </c>
      <c r="C215" s="2" t="s">
        <v>50</v>
      </c>
      <c r="D215" s="2" t="s">
        <v>346</v>
      </c>
      <c r="E215" s="22" t="s">
        <v>7</v>
      </c>
      <c r="F215" s="22" t="s">
        <v>75</v>
      </c>
      <c r="G215" s="2" t="s">
        <v>347</v>
      </c>
      <c r="H215" s="23">
        <v>625</v>
      </c>
      <c r="I215" s="6">
        <v>625</v>
      </c>
      <c r="J215" s="1" t="s">
        <v>163</v>
      </c>
      <c r="K215" s="6">
        <v>625</v>
      </c>
      <c r="L215" s="50" t="s">
        <v>333</v>
      </c>
      <c r="M215" s="70" t="str">
        <f>VLOOKUP(Table3[[#This Row],[Shop Name]],seller!A:A,1,0)</f>
        <v>Rudra Fashion</v>
      </c>
    </row>
    <row r="216" spans="1:13" x14ac:dyDescent="0.2">
      <c r="A216" s="2">
        <v>215</v>
      </c>
      <c r="B216" s="2">
        <v>2</v>
      </c>
      <c r="C216" s="2" t="s">
        <v>50</v>
      </c>
      <c r="D216" s="2" t="s">
        <v>98</v>
      </c>
      <c r="E216" s="22" t="s">
        <v>7</v>
      </c>
      <c r="F216" s="22" t="s">
        <v>75</v>
      </c>
      <c r="G216" s="2" t="s">
        <v>347</v>
      </c>
      <c r="H216" s="23">
        <v>750</v>
      </c>
      <c r="I216" s="6">
        <v>750</v>
      </c>
      <c r="J216" s="1" t="s">
        <v>163</v>
      </c>
      <c r="K216" s="6">
        <v>750</v>
      </c>
      <c r="L216" s="50" t="s">
        <v>333</v>
      </c>
      <c r="M216" s="70" t="str">
        <f>VLOOKUP(Table3[[#This Row],[Shop Name]],seller!A:A,1,0)</f>
        <v>Rudra Fashion</v>
      </c>
    </row>
    <row r="217" spans="1:13" ht="32" x14ac:dyDescent="0.2">
      <c r="A217" s="2">
        <v>216</v>
      </c>
      <c r="B217" s="2">
        <v>6</v>
      </c>
      <c r="C217" s="2" t="s">
        <v>46</v>
      </c>
      <c r="D217" s="22" t="s">
        <v>352</v>
      </c>
      <c r="E217" s="22" t="s">
        <v>353</v>
      </c>
      <c r="F217" s="22" t="s">
        <v>75</v>
      </c>
      <c r="G217" s="22" t="s">
        <v>54</v>
      </c>
      <c r="H217" s="23">
        <v>805</v>
      </c>
      <c r="I217" s="23">
        <v>1150</v>
      </c>
      <c r="J217" s="24" t="s">
        <v>163</v>
      </c>
      <c r="K217" s="6">
        <v>1100</v>
      </c>
      <c r="L217" s="50" t="s">
        <v>499</v>
      </c>
      <c r="M217" s="70" t="str">
        <f>VLOOKUP(Table3[[#This Row],[Shop Name]],seller!A:A,1,0)</f>
        <v>Rudra Fashion</v>
      </c>
    </row>
    <row r="218" spans="1:13" x14ac:dyDescent="0.2">
      <c r="A218" s="2">
        <v>217</v>
      </c>
      <c r="B218" s="2">
        <v>15</v>
      </c>
      <c r="C218" s="22" t="s">
        <v>59</v>
      </c>
      <c r="D218" s="2" t="s">
        <v>371</v>
      </c>
      <c r="E218" s="2" t="s">
        <v>354</v>
      </c>
      <c r="F218" s="22" t="s">
        <v>75</v>
      </c>
      <c r="G218" s="22" t="s">
        <v>54</v>
      </c>
      <c r="H218" s="23">
        <v>605</v>
      </c>
      <c r="I218" s="6">
        <v>950</v>
      </c>
      <c r="J218" s="1" t="s">
        <v>163</v>
      </c>
      <c r="K218" s="6">
        <v>900</v>
      </c>
      <c r="L218" s="50" t="s">
        <v>181</v>
      </c>
      <c r="M218" s="70" t="str">
        <f>VLOOKUP(Table3[[#This Row],[Shop Name]],seller!A:A,1,0)</f>
        <v>Rudra Fashion</v>
      </c>
    </row>
    <row r="219" spans="1:13" x14ac:dyDescent="0.2">
      <c r="A219" s="2">
        <v>218</v>
      </c>
      <c r="B219" s="2">
        <v>4</v>
      </c>
      <c r="C219" s="22" t="s">
        <v>59</v>
      </c>
      <c r="D219" s="2" t="s">
        <v>370</v>
      </c>
      <c r="E219" s="2" t="s">
        <v>7</v>
      </c>
      <c r="F219" s="22" t="s">
        <v>75</v>
      </c>
      <c r="G219" s="22" t="s">
        <v>44</v>
      </c>
      <c r="H219" s="23">
        <v>415</v>
      </c>
      <c r="I219" s="6">
        <v>699</v>
      </c>
      <c r="J219" s="1" t="s">
        <v>163</v>
      </c>
      <c r="K219" s="6">
        <v>643</v>
      </c>
      <c r="L219" s="50" t="s">
        <v>392</v>
      </c>
      <c r="M219" s="70" t="str">
        <f>VLOOKUP(Table3[[#This Row],[Shop Name]],seller!A:A,1,0)</f>
        <v>Rudra Fashion</v>
      </c>
    </row>
    <row r="220" spans="1:13" ht="32" x14ac:dyDescent="0.2">
      <c r="A220" s="2">
        <v>219</v>
      </c>
      <c r="B220" s="2" t="s">
        <v>885</v>
      </c>
      <c r="C220" s="22" t="s">
        <v>59</v>
      </c>
      <c r="D220" s="2" t="s">
        <v>369</v>
      </c>
      <c r="E220" s="2" t="s">
        <v>249</v>
      </c>
      <c r="F220" s="22" t="s">
        <v>75</v>
      </c>
      <c r="G220" s="2" t="s">
        <v>48</v>
      </c>
      <c r="H220" s="23">
        <v>525</v>
      </c>
      <c r="I220" s="6">
        <v>899</v>
      </c>
      <c r="J220" s="1" t="s">
        <v>163</v>
      </c>
      <c r="K220" s="6">
        <v>800</v>
      </c>
      <c r="L220" s="24" t="s">
        <v>920</v>
      </c>
      <c r="M220" s="70" t="str">
        <f>VLOOKUP(Table3[[#This Row],[Shop Name]],seller!A:A,1,0)</f>
        <v>Rudra Fashion</v>
      </c>
    </row>
    <row r="221" spans="1:13" x14ac:dyDescent="0.2">
      <c r="A221" s="2">
        <v>220</v>
      </c>
      <c r="B221" s="2">
        <v>10</v>
      </c>
      <c r="C221" s="2" t="s">
        <v>688</v>
      </c>
      <c r="D221" s="8" t="s">
        <v>355</v>
      </c>
      <c r="E221" s="8" t="s">
        <v>252</v>
      </c>
      <c r="F221" s="8" t="s">
        <v>75</v>
      </c>
      <c r="G221" s="8" t="s">
        <v>44</v>
      </c>
      <c r="H221" s="42">
        <v>985</v>
      </c>
      <c r="I221" s="9">
        <v>1385</v>
      </c>
      <c r="J221" s="39" t="s">
        <v>163</v>
      </c>
      <c r="K221" s="6">
        <v>1335</v>
      </c>
      <c r="L221" s="50" t="s">
        <v>298</v>
      </c>
      <c r="M221" s="70" t="str">
        <f>VLOOKUP(Table3[[#This Row],[Shop Name]],seller!A:A,1,0)</f>
        <v>Rudra Fashion</v>
      </c>
    </row>
    <row r="222" spans="1:13" ht="32" x14ac:dyDescent="0.2">
      <c r="A222" s="2">
        <v>221</v>
      </c>
      <c r="B222" s="8">
        <v>14</v>
      </c>
      <c r="C222" s="2" t="s">
        <v>357</v>
      </c>
      <c r="D222" s="8" t="s">
        <v>358</v>
      </c>
      <c r="E222" s="8" t="s">
        <v>356</v>
      </c>
      <c r="F222" s="8" t="s">
        <v>75</v>
      </c>
      <c r="G222" s="8" t="s">
        <v>54</v>
      </c>
      <c r="H222" s="42">
        <v>1035</v>
      </c>
      <c r="I222" s="9">
        <v>1350</v>
      </c>
      <c r="J222" s="39" t="s">
        <v>127</v>
      </c>
      <c r="K222" s="6">
        <v>0</v>
      </c>
      <c r="L222" s="39"/>
      <c r="M222" s="70" t="str">
        <f>VLOOKUP(Table3[[#This Row],[Shop Name]],seller!A:A,1,0)</f>
        <v>Rudra Fashion</v>
      </c>
    </row>
    <row r="223" spans="1:13" ht="32" x14ac:dyDescent="0.2">
      <c r="A223" s="2">
        <v>222</v>
      </c>
      <c r="B223" s="8">
        <v>13</v>
      </c>
      <c r="C223" s="2" t="s">
        <v>357</v>
      </c>
      <c r="D223" s="8" t="s">
        <v>365</v>
      </c>
      <c r="E223" s="8" t="s">
        <v>374</v>
      </c>
      <c r="F223" s="8" t="s">
        <v>75</v>
      </c>
      <c r="G223" s="8" t="s">
        <v>54</v>
      </c>
      <c r="H223" s="42">
        <v>835</v>
      </c>
      <c r="I223" s="9">
        <v>1199</v>
      </c>
      <c r="J223" s="39" t="s">
        <v>163</v>
      </c>
      <c r="K223" s="6">
        <v>1199</v>
      </c>
      <c r="L223" s="54" t="s">
        <v>425</v>
      </c>
      <c r="M223" s="70" t="str">
        <f>VLOOKUP(Table3[[#This Row],[Shop Name]],seller!A:A,1,0)</f>
        <v>Rudra Fashion</v>
      </c>
    </row>
    <row r="224" spans="1:13" x14ac:dyDescent="0.2">
      <c r="A224" s="2">
        <v>223</v>
      </c>
      <c r="B224" s="8">
        <v>3</v>
      </c>
      <c r="C224" s="8" t="s">
        <v>634</v>
      </c>
      <c r="D224" s="8" t="s">
        <v>366</v>
      </c>
      <c r="E224" s="8" t="s">
        <v>252</v>
      </c>
      <c r="F224" s="8" t="s">
        <v>75</v>
      </c>
      <c r="G224" s="8" t="s">
        <v>44</v>
      </c>
      <c r="H224" s="42">
        <v>855</v>
      </c>
      <c r="I224" s="9">
        <v>1199</v>
      </c>
      <c r="J224" s="39" t="s">
        <v>163</v>
      </c>
      <c r="K224" s="9">
        <v>1150</v>
      </c>
      <c r="L224" s="54" t="s">
        <v>392</v>
      </c>
      <c r="M224" s="70" t="str">
        <f>VLOOKUP(Table3[[#This Row],[Shop Name]],seller!A:A,1,0)</f>
        <v>Rudra Fashion</v>
      </c>
    </row>
    <row r="225" spans="1:13" x14ac:dyDescent="0.2">
      <c r="A225" s="2">
        <v>224</v>
      </c>
      <c r="B225" s="8">
        <v>5</v>
      </c>
      <c r="C225" s="8" t="s">
        <v>43</v>
      </c>
      <c r="D225" s="8" t="s">
        <v>367</v>
      </c>
      <c r="E225" s="8" t="s">
        <v>7</v>
      </c>
      <c r="F225" s="8" t="s">
        <v>75</v>
      </c>
      <c r="G225" s="8" t="s">
        <v>54</v>
      </c>
      <c r="H225" s="42">
        <v>385</v>
      </c>
      <c r="I225" s="9">
        <v>690</v>
      </c>
      <c r="J225" s="39" t="s">
        <v>127</v>
      </c>
      <c r="K225" s="6">
        <v>0</v>
      </c>
      <c r="L225" s="39"/>
      <c r="M225" s="70" t="str">
        <f>VLOOKUP(Table3[[#This Row],[Shop Name]],seller!A:A,1,0)</f>
        <v>Rudra Fashion</v>
      </c>
    </row>
    <row r="226" spans="1:13" x14ac:dyDescent="0.2">
      <c r="A226" s="2">
        <v>225</v>
      </c>
      <c r="B226" s="8">
        <v>5</v>
      </c>
      <c r="C226" s="8" t="s">
        <v>43</v>
      </c>
      <c r="D226" s="8" t="s">
        <v>368</v>
      </c>
      <c r="E226" s="8" t="s">
        <v>7</v>
      </c>
      <c r="F226" s="8" t="s">
        <v>75</v>
      </c>
      <c r="G226" s="8" t="s">
        <v>56</v>
      </c>
      <c r="H226" s="42">
        <v>385</v>
      </c>
      <c r="I226" s="9">
        <v>690</v>
      </c>
      <c r="J226" s="39" t="s">
        <v>163</v>
      </c>
      <c r="K226" s="9">
        <v>600</v>
      </c>
      <c r="L226" s="54" t="s">
        <v>384</v>
      </c>
      <c r="M226" s="70" t="str">
        <f>VLOOKUP(Table3[[#This Row],[Shop Name]],seller!A:A,1,0)</f>
        <v>Rudra Fashion</v>
      </c>
    </row>
    <row r="227" spans="1:13" x14ac:dyDescent="0.2">
      <c r="A227" s="2">
        <v>226</v>
      </c>
      <c r="B227" s="8"/>
      <c r="C227" s="8" t="s">
        <v>363</v>
      </c>
      <c r="D227" s="8" t="s">
        <v>360</v>
      </c>
      <c r="E227" s="2" t="s">
        <v>7</v>
      </c>
      <c r="F227" s="8" t="s">
        <v>75</v>
      </c>
      <c r="G227" s="8" t="s">
        <v>267</v>
      </c>
      <c r="H227" s="42">
        <v>250</v>
      </c>
      <c r="I227" s="9">
        <v>450</v>
      </c>
      <c r="J227" s="39" t="s">
        <v>163</v>
      </c>
      <c r="K227" s="6">
        <v>450</v>
      </c>
      <c r="L227" s="39" t="s">
        <v>214</v>
      </c>
      <c r="M227" s="70" t="str">
        <f>VLOOKUP(Table3[[#This Row],[Shop Name]],seller!A:A,1,0)</f>
        <v>Rudra Fashion</v>
      </c>
    </row>
    <row r="228" spans="1:13" x14ac:dyDescent="0.2">
      <c r="A228" s="2">
        <v>227</v>
      </c>
      <c r="B228" s="2"/>
      <c r="C228" s="8" t="s">
        <v>359</v>
      </c>
      <c r="D228" s="2" t="s">
        <v>362</v>
      </c>
      <c r="E228" s="8" t="s">
        <v>7</v>
      </c>
      <c r="F228" s="8" t="s">
        <v>75</v>
      </c>
      <c r="G228" s="2" t="s">
        <v>267</v>
      </c>
      <c r="H228" s="23">
        <v>250</v>
      </c>
      <c r="I228" s="6">
        <v>450</v>
      </c>
      <c r="J228" s="39" t="s">
        <v>163</v>
      </c>
      <c r="K228" s="6">
        <v>380</v>
      </c>
      <c r="L228" s="50" t="s">
        <v>384</v>
      </c>
      <c r="M228" s="70" t="str">
        <f>VLOOKUP(Table3[[#This Row],[Shop Name]],seller!A:A,1,0)</f>
        <v>Rudra Fashion</v>
      </c>
    </row>
    <row r="229" spans="1:13" x14ac:dyDescent="0.2">
      <c r="A229" s="2">
        <v>228</v>
      </c>
      <c r="B229" s="2"/>
      <c r="C229" s="8" t="s">
        <v>359</v>
      </c>
      <c r="D229" s="2" t="s">
        <v>361</v>
      </c>
      <c r="E229" s="2" t="s">
        <v>7</v>
      </c>
      <c r="F229" s="8" t="s">
        <v>75</v>
      </c>
      <c r="G229" s="2" t="s">
        <v>267</v>
      </c>
      <c r="H229" s="23">
        <v>250</v>
      </c>
      <c r="I229" s="6">
        <v>450</v>
      </c>
      <c r="J229" s="39" t="s">
        <v>127</v>
      </c>
      <c r="K229" s="6">
        <v>0</v>
      </c>
      <c r="M229" s="70" t="str">
        <f>VLOOKUP(Table3[[#This Row],[Shop Name]],seller!A:A,1,0)</f>
        <v>Rudra Fashion</v>
      </c>
    </row>
    <row r="230" spans="1:13" x14ac:dyDescent="0.2">
      <c r="A230" s="2">
        <v>229</v>
      </c>
      <c r="B230" s="2"/>
      <c r="C230" s="2" t="s">
        <v>363</v>
      </c>
      <c r="D230" s="2" t="s">
        <v>364</v>
      </c>
      <c r="E230" s="2" t="s">
        <v>7</v>
      </c>
      <c r="F230" s="8" t="s">
        <v>75</v>
      </c>
      <c r="G230" s="2" t="s">
        <v>267</v>
      </c>
      <c r="H230" s="23">
        <v>475</v>
      </c>
      <c r="I230" s="6">
        <v>600</v>
      </c>
      <c r="J230" s="39" t="s">
        <v>127</v>
      </c>
      <c r="K230" s="6">
        <v>0</v>
      </c>
      <c r="M230" s="70" t="str">
        <f>VLOOKUP(Table3[[#This Row],[Shop Name]],seller!A:A,1,0)</f>
        <v>Rudra Fashion</v>
      </c>
    </row>
    <row r="231" spans="1:13" x14ac:dyDescent="0.2">
      <c r="A231" s="2">
        <v>230</v>
      </c>
      <c r="B231" s="2"/>
      <c r="C231" s="2" t="s">
        <v>393</v>
      </c>
      <c r="D231" s="2" t="s">
        <v>757</v>
      </c>
      <c r="E231" s="2" t="s">
        <v>394</v>
      </c>
      <c r="F231" s="2" t="s">
        <v>395</v>
      </c>
      <c r="G231" s="2" t="s">
        <v>267</v>
      </c>
      <c r="H231" s="23">
        <v>1025</v>
      </c>
      <c r="I231" s="6">
        <v>1750</v>
      </c>
      <c r="J231" s="1" t="s">
        <v>163</v>
      </c>
      <c r="K231" s="6">
        <v>1025</v>
      </c>
      <c r="L231" s="1" t="s">
        <v>609</v>
      </c>
      <c r="M231" s="70" t="str">
        <f>VLOOKUP(Table3[[#This Row],[Shop Name]],seller!A:A,1,0)</f>
        <v>Asmita Saree Palace</v>
      </c>
    </row>
    <row r="232" spans="1:13" x14ac:dyDescent="0.2">
      <c r="A232" s="2">
        <v>231</v>
      </c>
      <c r="B232" s="2"/>
      <c r="C232" s="2" t="s">
        <v>393</v>
      </c>
      <c r="D232" s="2" t="s">
        <v>758</v>
      </c>
      <c r="E232" s="2" t="s">
        <v>394</v>
      </c>
      <c r="F232" s="2" t="s">
        <v>395</v>
      </c>
      <c r="G232" s="2" t="s">
        <v>267</v>
      </c>
      <c r="H232" s="23">
        <v>1025</v>
      </c>
      <c r="I232" s="6">
        <v>1750</v>
      </c>
      <c r="J232" s="1" t="s">
        <v>163</v>
      </c>
      <c r="K232" s="6">
        <v>1025</v>
      </c>
      <c r="L232" s="1" t="s">
        <v>609</v>
      </c>
      <c r="M232" s="70" t="str">
        <f>VLOOKUP(Table3[[#This Row],[Shop Name]],seller!A:A,1,0)</f>
        <v>Asmita Saree Palace</v>
      </c>
    </row>
    <row r="233" spans="1:13" x14ac:dyDescent="0.2">
      <c r="A233" s="2">
        <v>232</v>
      </c>
      <c r="B233" s="2"/>
      <c r="C233" s="2" t="s">
        <v>393</v>
      </c>
      <c r="D233" s="2" t="s">
        <v>759</v>
      </c>
      <c r="E233" s="2" t="s">
        <v>394</v>
      </c>
      <c r="F233" s="2" t="s">
        <v>395</v>
      </c>
      <c r="G233" s="2" t="s">
        <v>267</v>
      </c>
      <c r="H233" s="23">
        <v>1025</v>
      </c>
      <c r="I233" s="6">
        <v>1750</v>
      </c>
      <c r="J233" s="1" t="s">
        <v>163</v>
      </c>
      <c r="K233" s="6">
        <v>1025</v>
      </c>
      <c r="L233" s="1" t="s">
        <v>186</v>
      </c>
      <c r="M233" s="70" t="str">
        <f>VLOOKUP(Table3[[#This Row],[Shop Name]],seller!A:A,1,0)</f>
        <v>Asmita Saree Palace</v>
      </c>
    </row>
    <row r="234" spans="1:13" x14ac:dyDescent="0.2">
      <c r="A234" s="2">
        <v>233</v>
      </c>
      <c r="B234" s="2"/>
      <c r="C234" s="2" t="s">
        <v>393</v>
      </c>
      <c r="D234" s="2" t="s">
        <v>760</v>
      </c>
      <c r="E234" s="2" t="s">
        <v>394</v>
      </c>
      <c r="F234" s="2" t="s">
        <v>395</v>
      </c>
      <c r="G234" s="2" t="s">
        <v>267</v>
      </c>
      <c r="H234" s="23">
        <v>1025</v>
      </c>
      <c r="I234" s="6">
        <v>1750</v>
      </c>
      <c r="J234" s="1" t="s">
        <v>163</v>
      </c>
      <c r="K234" s="6">
        <v>1025</v>
      </c>
      <c r="L234" s="1" t="s">
        <v>186</v>
      </c>
      <c r="M234" s="70" t="str">
        <f>VLOOKUP(Table3[[#This Row],[Shop Name]],seller!A:A,1,0)</f>
        <v>Asmita Saree Palace</v>
      </c>
    </row>
    <row r="235" spans="1:13" x14ac:dyDescent="0.2">
      <c r="A235" s="2">
        <v>234</v>
      </c>
      <c r="B235" s="2"/>
      <c r="C235" s="2" t="s">
        <v>393</v>
      </c>
      <c r="D235" s="2" t="s">
        <v>761</v>
      </c>
      <c r="E235" s="2" t="s">
        <v>394</v>
      </c>
      <c r="F235" s="2" t="s">
        <v>395</v>
      </c>
      <c r="G235" s="2" t="s">
        <v>267</v>
      </c>
      <c r="H235" s="23">
        <v>1025</v>
      </c>
      <c r="I235" s="6">
        <v>1750</v>
      </c>
      <c r="J235" s="1" t="s">
        <v>163</v>
      </c>
      <c r="K235" s="6">
        <v>1600</v>
      </c>
      <c r="L235" s="50" t="s">
        <v>437</v>
      </c>
      <c r="M235" s="70" t="str">
        <f>VLOOKUP(Table3[[#This Row],[Shop Name]],seller!A:A,1,0)</f>
        <v>Asmita Saree Palace</v>
      </c>
    </row>
    <row r="236" spans="1:13" x14ac:dyDescent="0.2">
      <c r="A236" s="2">
        <v>235</v>
      </c>
      <c r="B236" s="2"/>
      <c r="C236" s="2" t="s">
        <v>393</v>
      </c>
      <c r="D236" s="2" t="s">
        <v>762</v>
      </c>
      <c r="E236" s="2" t="s">
        <v>394</v>
      </c>
      <c r="F236" s="2" t="s">
        <v>395</v>
      </c>
      <c r="G236" s="2" t="s">
        <v>267</v>
      </c>
      <c r="H236" s="23">
        <v>1025</v>
      </c>
      <c r="I236" s="6">
        <v>1750</v>
      </c>
      <c r="J236" s="1" t="s">
        <v>163</v>
      </c>
      <c r="K236" s="6">
        <v>1025</v>
      </c>
      <c r="L236" s="50" t="s">
        <v>333</v>
      </c>
      <c r="M236" s="70" t="str">
        <f>VLOOKUP(Table3[[#This Row],[Shop Name]],seller!A:A,1,0)</f>
        <v>Asmita Saree Palace</v>
      </c>
    </row>
    <row r="237" spans="1:13" x14ac:dyDescent="0.2">
      <c r="A237" s="2">
        <v>236</v>
      </c>
      <c r="B237" s="2"/>
      <c r="C237" s="2" t="s">
        <v>393</v>
      </c>
      <c r="D237" s="2" t="s">
        <v>398</v>
      </c>
      <c r="E237" s="2" t="s">
        <v>7</v>
      </c>
      <c r="F237" s="2" t="s">
        <v>395</v>
      </c>
      <c r="G237" s="2" t="s">
        <v>267</v>
      </c>
      <c r="H237" s="23">
        <v>300</v>
      </c>
      <c r="I237" s="6">
        <v>600</v>
      </c>
      <c r="J237" s="1" t="s">
        <v>163</v>
      </c>
      <c r="K237" s="6">
        <v>510</v>
      </c>
      <c r="L237" s="50" t="s">
        <v>501</v>
      </c>
      <c r="M237" s="70" t="str">
        <f>VLOOKUP(Table3[[#This Row],[Shop Name]],seller!A:A,1,0)</f>
        <v>Asmita Saree Palace</v>
      </c>
    </row>
    <row r="238" spans="1:13" x14ac:dyDescent="0.2">
      <c r="A238" s="2">
        <v>237</v>
      </c>
      <c r="B238" s="2"/>
      <c r="C238" s="2" t="s">
        <v>393</v>
      </c>
      <c r="D238" s="2" t="s">
        <v>397</v>
      </c>
      <c r="E238" s="2" t="s">
        <v>249</v>
      </c>
      <c r="F238" s="2" t="s">
        <v>395</v>
      </c>
      <c r="G238" s="2" t="s">
        <v>267</v>
      </c>
      <c r="H238" s="23">
        <v>1100</v>
      </c>
      <c r="I238" s="6">
        <v>2000</v>
      </c>
      <c r="J238" s="1" t="s">
        <v>163</v>
      </c>
      <c r="K238" s="6">
        <v>1800</v>
      </c>
      <c r="L238" s="50" t="s">
        <v>437</v>
      </c>
      <c r="M238" s="70" t="str">
        <f>VLOOKUP(Table3[[#This Row],[Shop Name]],seller!A:A,1,0)</f>
        <v>Asmita Saree Palace</v>
      </c>
    </row>
    <row r="239" spans="1:13" ht="32" x14ac:dyDescent="0.2">
      <c r="A239" s="2">
        <v>238</v>
      </c>
      <c r="B239" s="2">
        <v>4</v>
      </c>
      <c r="C239" s="2" t="s">
        <v>46</v>
      </c>
      <c r="D239" s="2" t="s">
        <v>400</v>
      </c>
      <c r="E239" s="2" t="s">
        <v>399</v>
      </c>
      <c r="F239" s="2" t="s">
        <v>61</v>
      </c>
      <c r="G239" s="2" t="s">
        <v>49</v>
      </c>
      <c r="H239" s="23">
        <v>580</v>
      </c>
      <c r="I239" s="6">
        <v>950</v>
      </c>
      <c r="J239" s="1" t="s">
        <v>127</v>
      </c>
      <c r="K239" s="6">
        <v>0</v>
      </c>
      <c r="M239" s="70" t="str">
        <f>VLOOKUP(Table3[[#This Row],[Shop Name]],seller!A:A,1,0)</f>
        <v>RV Fashion</v>
      </c>
    </row>
    <row r="240" spans="1:13" ht="32" x14ac:dyDescent="0.2">
      <c r="A240" s="2">
        <v>239</v>
      </c>
      <c r="B240" s="2">
        <v>4</v>
      </c>
      <c r="C240" s="2" t="s">
        <v>46</v>
      </c>
      <c r="D240" s="2" t="s">
        <v>401</v>
      </c>
      <c r="E240" s="2" t="s">
        <v>399</v>
      </c>
      <c r="F240" s="2" t="s">
        <v>61</v>
      </c>
      <c r="G240" s="2" t="s">
        <v>49</v>
      </c>
      <c r="H240" s="23">
        <v>580</v>
      </c>
      <c r="I240" s="6">
        <v>950</v>
      </c>
      <c r="J240" s="1" t="s">
        <v>127</v>
      </c>
      <c r="K240" s="6">
        <v>0</v>
      </c>
      <c r="M240" s="70" t="str">
        <f>VLOOKUP(Table3[[#This Row],[Shop Name]],seller!A:A,1,0)</f>
        <v>RV Fashion</v>
      </c>
    </row>
    <row r="241" spans="1:13" ht="32" x14ac:dyDescent="0.2">
      <c r="A241" s="2">
        <v>240</v>
      </c>
      <c r="B241" s="2">
        <v>1</v>
      </c>
      <c r="C241" s="2" t="s">
        <v>46</v>
      </c>
      <c r="D241" s="2" t="s">
        <v>402</v>
      </c>
      <c r="E241" s="2" t="s">
        <v>399</v>
      </c>
      <c r="F241" s="2" t="s">
        <v>61</v>
      </c>
      <c r="G241" s="2" t="s">
        <v>49</v>
      </c>
      <c r="H241" s="23">
        <v>630</v>
      </c>
      <c r="I241" s="6">
        <v>970</v>
      </c>
      <c r="J241" s="1" t="s">
        <v>127</v>
      </c>
      <c r="K241" s="6">
        <v>0</v>
      </c>
      <c r="M241" s="70" t="str">
        <f>VLOOKUP(Table3[[#This Row],[Shop Name]],seller!A:A,1,0)</f>
        <v>RV Fashion</v>
      </c>
    </row>
    <row r="242" spans="1:13" ht="32" x14ac:dyDescent="0.2">
      <c r="A242" s="2">
        <v>241</v>
      </c>
      <c r="B242" s="2">
        <v>1</v>
      </c>
      <c r="C242" s="2" t="s">
        <v>46</v>
      </c>
      <c r="D242" s="2" t="s">
        <v>402</v>
      </c>
      <c r="E242" s="2" t="s">
        <v>399</v>
      </c>
      <c r="F242" s="2" t="s">
        <v>61</v>
      </c>
      <c r="G242" s="2" t="s">
        <v>44</v>
      </c>
      <c r="H242" s="23">
        <v>630</v>
      </c>
      <c r="I242" s="6">
        <v>970</v>
      </c>
      <c r="J242" s="1" t="s">
        <v>127</v>
      </c>
      <c r="K242" s="6">
        <v>0</v>
      </c>
      <c r="M242" s="70" t="str">
        <f>VLOOKUP(Table3[[#This Row],[Shop Name]],seller!A:A,1,0)</f>
        <v>RV Fashion</v>
      </c>
    </row>
    <row r="243" spans="1:13" x14ac:dyDescent="0.2">
      <c r="A243" s="2">
        <v>242</v>
      </c>
      <c r="B243" s="2" t="s">
        <v>719</v>
      </c>
      <c r="C243" s="2" t="s">
        <v>43</v>
      </c>
      <c r="D243" s="2" t="s">
        <v>403</v>
      </c>
      <c r="E243" s="2" t="s">
        <v>62</v>
      </c>
      <c r="F243" s="2" t="s">
        <v>61</v>
      </c>
      <c r="G243" s="2" t="s">
        <v>49</v>
      </c>
      <c r="H243" s="23">
        <v>530</v>
      </c>
      <c r="I243" s="6">
        <v>850</v>
      </c>
      <c r="J243" s="1" t="s">
        <v>163</v>
      </c>
      <c r="K243" s="6">
        <v>800</v>
      </c>
      <c r="L243" s="1" t="s">
        <v>727</v>
      </c>
      <c r="M243" s="70" t="str">
        <f>VLOOKUP(Table3[[#This Row],[Shop Name]],seller!A:A,1,0)</f>
        <v>RV Fashion</v>
      </c>
    </row>
    <row r="244" spans="1:13" x14ac:dyDescent="0.2">
      <c r="A244" s="2">
        <v>243</v>
      </c>
      <c r="B244" s="2">
        <v>3</v>
      </c>
      <c r="C244" s="2" t="s">
        <v>43</v>
      </c>
      <c r="D244" s="2" t="s">
        <v>403</v>
      </c>
      <c r="E244" s="2" t="s">
        <v>62</v>
      </c>
      <c r="F244" s="2" t="s">
        <v>61</v>
      </c>
      <c r="G244" s="2" t="s">
        <v>44</v>
      </c>
      <c r="H244" s="23">
        <v>530</v>
      </c>
      <c r="I244" s="6">
        <v>850</v>
      </c>
      <c r="J244" s="1" t="s">
        <v>163</v>
      </c>
      <c r="K244" s="6">
        <v>530</v>
      </c>
      <c r="L244" s="1" t="s">
        <v>333</v>
      </c>
      <c r="M244" s="70" t="str">
        <f>VLOOKUP(Table3[[#This Row],[Shop Name]],seller!A:A,1,0)</f>
        <v>RV Fashion</v>
      </c>
    </row>
    <row r="245" spans="1:13" x14ac:dyDescent="0.2">
      <c r="A245" s="2">
        <v>244</v>
      </c>
      <c r="B245" s="2">
        <v>3</v>
      </c>
      <c r="C245" s="2" t="s">
        <v>50</v>
      </c>
      <c r="D245" s="2" t="s">
        <v>1077</v>
      </c>
      <c r="E245" s="2" t="s">
        <v>7</v>
      </c>
      <c r="F245" s="2" t="s">
        <v>61</v>
      </c>
      <c r="G245" s="2" t="s">
        <v>49</v>
      </c>
      <c r="H245" s="23">
        <v>530</v>
      </c>
      <c r="I245" s="6">
        <v>900</v>
      </c>
      <c r="J245" s="1" t="s">
        <v>163</v>
      </c>
      <c r="K245" s="6">
        <v>850</v>
      </c>
      <c r="L245" s="1" t="s">
        <v>649</v>
      </c>
      <c r="M245" s="70" t="str">
        <f>VLOOKUP(Table3[[#This Row],[Shop Name]],seller!A:A,1,0)</f>
        <v>RV Fashion</v>
      </c>
    </row>
    <row r="246" spans="1:13" x14ac:dyDescent="0.2">
      <c r="A246" s="2">
        <v>245</v>
      </c>
      <c r="B246" s="2">
        <v>5</v>
      </c>
      <c r="C246" s="22" t="s">
        <v>59</v>
      </c>
      <c r="D246" s="2" t="s">
        <v>404</v>
      </c>
      <c r="E246" s="2" t="s">
        <v>7</v>
      </c>
      <c r="F246" s="2" t="s">
        <v>61</v>
      </c>
      <c r="G246" s="2" t="s">
        <v>54</v>
      </c>
      <c r="H246" s="23">
        <v>390</v>
      </c>
      <c r="I246" s="6">
        <v>700</v>
      </c>
      <c r="J246" s="1" t="s">
        <v>127</v>
      </c>
      <c r="K246" s="6">
        <v>0</v>
      </c>
      <c r="M246" s="70" t="str">
        <f>VLOOKUP(Table3[[#This Row],[Shop Name]],seller!A:A,1,0)</f>
        <v>RV Fashion</v>
      </c>
    </row>
    <row r="247" spans="1:13" x14ac:dyDescent="0.2">
      <c r="A247" s="2">
        <v>246</v>
      </c>
      <c r="B247" s="2">
        <v>5</v>
      </c>
      <c r="C247" s="22" t="s">
        <v>59</v>
      </c>
      <c r="D247" s="2" t="s">
        <v>405</v>
      </c>
      <c r="E247" s="2" t="s">
        <v>7</v>
      </c>
      <c r="F247" s="2" t="s">
        <v>61</v>
      </c>
      <c r="G247" s="2" t="s">
        <v>54</v>
      </c>
      <c r="H247" s="23">
        <v>390</v>
      </c>
      <c r="I247" s="6">
        <v>700</v>
      </c>
      <c r="J247" s="1" t="s">
        <v>163</v>
      </c>
      <c r="K247" s="6">
        <v>680</v>
      </c>
      <c r="L247" s="50" t="s">
        <v>434</v>
      </c>
      <c r="M247" s="70" t="str">
        <f>VLOOKUP(Table3[[#This Row],[Shop Name]],seller!A:A,1,0)</f>
        <v>RV Fashion</v>
      </c>
    </row>
    <row r="248" spans="1:13" ht="32" x14ac:dyDescent="0.2">
      <c r="A248" s="2">
        <v>247</v>
      </c>
      <c r="B248" s="2">
        <v>2</v>
      </c>
      <c r="C248" s="2" t="s">
        <v>46</v>
      </c>
      <c r="D248" s="2" t="s">
        <v>411</v>
      </c>
      <c r="E248" s="2" t="s">
        <v>399</v>
      </c>
      <c r="F248" s="2" t="s">
        <v>61</v>
      </c>
      <c r="G248" s="2" t="s">
        <v>49</v>
      </c>
      <c r="H248" s="23">
        <v>580</v>
      </c>
      <c r="I248" s="6">
        <v>900</v>
      </c>
      <c r="J248" s="1" t="s">
        <v>127</v>
      </c>
      <c r="K248" s="6">
        <v>0</v>
      </c>
      <c r="M248" s="70" t="str">
        <f>VLOOKUP(Table3[[#This Row],[Shop Name]],seller!A:A,1,0)</f>
        <v>RV Fashion</v>
      </c>
    </row>
    <row r="249" spans="1:13" ht="32" x14ac:dyDescent="0.2">
      <c r="A249" s="2">
        <v>248</v>
      </c>
      <c r="B249" s="2" t="s">
        <v>686</v>
      </c>
      <c r="C249" s="2" t="s">
        <v>46</v>
      </c>
      <c r="D249" s="2" t="s">
        <v>410</v>
      </c>
      <c r="E249" s="2" t="s">
        <v>399</v>
      </c>
      <c r="F249" s="2" t="s">
        <v>61</v>
      </c>
      <c r="G249" s="2" t="s">
        <v>49</v>
      </c>
      <c r="H249" s="23">
        <v>580</v>
      </c>
      <c r="I249" s="6">
        <v>900</v>
      </c>
      <c r="J249" s="1" t="s">
        <v>163</v>
      </c>
      <c r="K249" s="6">
        <v>834</v>
      </c>
      <c r="L249" s="1" t="s">
        <v>700</v>
      </c>
      <c r="M249" s="70" t="str">
        <f>VLOOKUP(Table3[[#This Row],[Shop Name]],seller!A:A,1,0)</f>
        <v>RV Fashion</v>
      </c>
    </row>
    <row r="250" spans="1:13" ht="32" x14ac:dyDescent="0.2">
      <c r="A250" s="2">
        <v>249</v>
      </c>
      <c r="B250" s="2">
        <v>2</v>
      </c>
      <c r="C250" s="2" t="s">
        <v>46</v>
      </c>
      <c r="D250" s="2" t="s">
        <v>409</v>
      </c>
      <c r="E250" s="2" t="s">
        <v>378</v>
      </c>
      <c r="F250" s="2" t="s">
        <v>75</v>
      </c>
      <c r="G250" s="2" t="s">
        <v>44</v>
      </c>
      <c r="H250" s="23">
        <v>695</v>
      </c>
      <c r="I250" s="6">
        <v>1050</v>
      </c>
      <c r="J250" s="1" t="s">
        <v>127</v>
      </c>
      <c r="K250" s="6">
        <v>0</v>
      </c>
      <c r="M250" s="70" t="str">
        <f>VLOOKUP(Table3[[#This Row],[Shop Name]],seller!A:A,1,0)</f>
        <v>Rudra Fashion</v>
      </c>
    </row>
    <row r="251" spans="1:13" x14ac:dyDescent="0.2">
      <c r="A251" s="2">
        <v>250</v>
      </c>
      <c r="B251" s="2" t="s">
        <v>804</v>
      </c>
      <c r="C251" s="2" t="s">
        <v>50</v>
      </c>
      <c r="D251" s="2" t="s">
        <v>408</v>
      </c>
      <c r="E251" s="2" t="s">
        <v>7</v>
      </c>
      <c r="F251" s="2" t="s">
        <v>75</v>
      </c>
      <c r="G251" s="2" t="s">
        <v>44</v>
      </c>
      <c r="H251" s="23">
        <v>635</v>
      </c>
      <c r="I251" s="6">
        <v>950</v>
      </c>
      <c r="J251" s="1" t="s">
        <v>163</v>
      </c>
      <c r="K251" s="6">
        <v>800</v>
      </c>
      <c r="L251" s="1" t="s">
        <v>811</v>
      </c>
      <c r="M251" s="70" t="str">
        <f>VLOOKUP(Table3[[#This Row],[Shop Name]],seller!A:A,1,0)</f>
        <v>Rudra Fashion</v>
      </c>
    </row>
    <row r="252" spans="1:13" ht="32" x14ac:dyDescent="0.2">
      <c r="A252" s="2">
        <v>251</v>
      </c>
      <c r="B252" s="2">
        <v>14</v>
      </c>
      <c r="C252" s="2" t="s">
        <v>46</v>
      </c>
      <c r="D252" s="2" t="s">
        <v>407</v>
      </c>
      <c r="E252" s="2" t="s">
        <v>378</v>
      </c>
      <c r="F252" s="2" t="s">
        <v>75</v>
      </c>
      <c r="G252" s="2" t="s">
        <v>44</v>
      </c>
      <c r="H252" s="23">
        <v>235</v>
      </c>
      <c r="I252" s="6">
        <v>575</v>
      </c>
      <c r="J252" s="1" t="s">
        <v>163</v>
      </c>
      <c r="K252" s="6">
        <v>575</v>
      </c>
      <c r="L252" s="50" t="s">
        <v>514</v>
      </c>
      <c r="M252" s="70" t="str">
        <f>VLOOKUP(Table3[[#This Row],[Shop Name]],seller!A:A,1,0)</f>
        <v>Rudra Fashion</v>
      </c>
    </row>
    <row r="253" spans="1:13" ht="32" x14ac:dyDescent="0.2">
      <c r="A253" s="2">
        <v>252</v>
      </c>
      <c r="B253" s="2">
        <v>15</v>
      </c>
      <c r="C253" s="2" t="s">
        <v>46</v>
      </c>
      <c r="D253" s="2" t="s">
        <v>406</v>
      </c>
      <c r="E253" s="2" t="s">
        <v>7</v>
      </c>
      <c r="F253" s="2" t="s">
        <v>75</v>
      </c>
      <c r="G253" s="2" t="s">
        <v>54</v>
      </c>
      <c r="H253" s="23">
        <v>555</v>
      </c>
      <c r="I253" s="6">
        <v>875</v>
      </c>
      <c r="J253" s="1" t="s">
        <v>163</v>
      </c>
      <c r="K253" s="6">
        <v>850</v>
      </c>
      <c r="L253" s="50" t="s">
        <v>214</v>
      </c>
      <c r="M253" s="70" t="str">
        <f>VLOOKUP(Table3[[#This Row],[Shop Name]],seller!A:A,1,0)</f>
        <v>Rudra Fashion</v>
      </c>
    </row>
    <row r="254" spans="1:13" ht="32" x14ac:dyDescent="0.2">
      <c r="A254" s="2">
        <v>253</v>
      </c>
      <c r="B254" s="2" t="s">
        <v>784</v>
      </c>
      <c r="C254" s="2" t="s">
        <v>689</v>
      </c>
      <c r="D254" s="2" t="s">
        <v>788</v>
      </c>
      <c r="E254" s="2" t="s">
        <v>354</v>
      </c>
      <c r="F254" s="2" t="s">
        <v>75</v>
      </c>
      <c r="G254" s="2" t="s">
        <v>44</v>
      </c>
      <c r="H254" s="23">
        <v>825</v>
      </c>
      <c r="I254" s="6">
        <v>1175</v>
      </c>
      <c r="J254" s="1" t="s">
        <v>163</v>
      </c>
      <c r="K254" s="6">
        <v>1150</v>
      </c>
      <c r="L254" s="24" t="s">
        <v>789</v>
      </c>
      <c r="M254" s="70" t="str">
        <f>VLOOKUP(Table3[[#This Row],[Shop Name]],seller!A:A,1,0)</f>
        <v>Rudra Fashion</v>
      </c>
    </row>
    <row r="255" spans="1:13" ht="32" x14ac:dyDescent="0.2">
      <c r="A255" s="2">
        <v>254</v>
      </c>
      <c r="B255" s="2">
        <v>13</v>
      </c>
      <c r="C255" s="2" t="s">
        <v>46</v>
      </c>
      <c r="D255" s="2" t="s">
        <v>413</v>
      </c>
      <c r="E255" s="2" t="s">
        <v>399</v>
      </c>
      <c r="F255" s="2" t="s">
        <v>75</v>
      </c>
      <c r="G255" s="2" t="s">
        <v>44</v>
      </c>
      <c r="H255" s="23">
        <v>425</v>
      </c>
      <c r="I255" s="6">
        <v>775</v>
      </c>
      <c r="J255" s="1" t="s">
        <v>127</v>
      </c>
      <c r="K255" s="6">
        <v>0</v>
      </c>
      <c r="M255" s="70" t="str">
        <f>VLOOKUP(Table3[[#This Row],[Shop Name]],seller!A:A,1,0)</f>
        <v>Rudra Fashion</v>
      </c>
    </row>
    <row r="256" spans="1:13" ht="32" x14ac:dyDescent="0.2">
      <c r="A256" s="2">
        <v>255</v>
      </c>
      <c r="B256" s="2" t="s">
        <v>687</v>
      </c>
      <c r="C256" s="2" t="s">
        <v>46</v>
      </c>
      <c r="D256" s="2" t="s">
        <v>413</v>
      </c>
      <c r="E256" s="2" t="s">
        <v>249</v>
      </c>
      <c r="F256" s="2" t="s">
        <v>75</v>
      </c>
      <c r="G256" s="2" t="s">
        <v>44</v>
      </c>
      <c r="H256" s="23">
        <v>425</v>
      </c>
      <c r="I256" s="6">
        <v>775</v>
      </c>
      <c r="J256" s="1" t="s">
        <v>163</v>
      </c>
      <c r="K256" s="6">
        <v>750</v>
      </c>
      <c r="L256" s="1" t="s">
        <v>693</v>
      </c>
      <c r="M256" s="70" t="str">
        <f>VLOOKUP(Table3[[#This Row],[Shop Name]],seller!A:A,1,0)</f>
        <v>Rudra Fashion</v>
      </c>
    </row>
    <row r="257" spans="1:13" ht="32" x14ac:dyDescent="0.2">
      <c r="A257" s="2">
        <v>256</v>
      </c>
      <c r="B257" s="2">
        <v>13</v>
      </c>
      <c r="C257" s="2" t="s">
        <v>46</v>
      </c>
      <c r="D257" s="2" t="s">
        <v>412</v>
      </c>
      <c r="E257" s="2" t="s">
        <v>399</v>
      </c>
      <c r="F257" s="2" t="s">
        <v>75</v>
      </c>
      <c r="G257" s="2" t="s">
        <v>44</v>
      </c>
      <c r="H257" s="23">
        <v>425</v>
      </c>
      <c r="I257" s="6">
        <v>775</v>
      </c>
      <c r="J257" s="1" t="s">
        <v>127</v>
      </c>
      <c r="K257" s="6">
        <v>0</v>
      </c>
      <c r="M257" s="70" t="str">
        <f>VLOOKUP(Table3[[#This Row],[Shop Name]],seller!A:A,1,0)</f>
        <v>Rudra Fashion</v>
      </c>
    </row>
    <row r="258" spans="1:13" ht="32" x14ac:dyDescent="0.2">
      <c r="A258" s="2">
        <v>257</v>
      </c>
      <c r="B258" s="2">
        <v>10</v>
      </c>
      <c r="C258" s="2" t="s">
        <v>46</v>
      </c>
      <c r="D258" s="2" t="s">
        <v>422</v>
      </c>
      <c r="E258" s="2" t="s">
        <v>7</v>
      </c>
      <c r="F258" s="2" t="s">
        <v>75</v>
      </c>
      <c r="G258" s="2" t="s">
        <v>44</v>
      </c>
      <c r="H258" s="23">
        <v>690</v>
      </c>
      <c r="I258" s="6">
        <v>1000</v>
      </c>
      <c r="J258" s="1" t="s">
        <v>127</v>
      </c>
      <c r="K258" s="6">
        <v>0</v>
      </c>
      <c r="M258" s="70" t="str">
        <f>VLOOKUP(Table3[[#This Row],[Shop Name]],seller!A:A,1,0)</f>
        <v>Rudra Fashion</v>
      </c>
    </row>
    <row r="259" spans="1:13" x14ac:dyDescent="0.2">
      <c r="A259" s="2">
        <v>258</v>
      </c>
      <c r="B259" s="2">
        <v>11</v>
      </c>
      <c r="C259" s="2" t="s">
        <v>634</v>
      </c>
      <c r="D259" s="2" t="s">
        <v>414</v>
      </c>
      <c r="E259" s="2" t="s">
        <v>7</v>
      </c>
      <c r="F259" s="2" t="s">
        <v>75</v>
      </c>
      <c r="G259" s="2" t="s">
        <v>54</v>
      </c>
      <c r="H259" s="23">
        <v>865</v>
      </c>
      <c r="I259" s="6">
        <v>1200</v>
      </c>
      <c r="J259" s="1" t="s">
        <v>127</v>
      </c>
      <c r="K259" s="6">
        <v>0</v>
      </c>
      <c r="M259" s="70" t="str">
        <f>VLOOKUP(Table3[[#This Row],[Shop Name]],seller!A:A,1,0)</f>
        <v>Rudra Fashion</v>
      </c>
    </row>
    <row r="260" spans="1:13" ht="32" x14ac:dyDescent="0.2">
      <c r="A260" s="2">
        <v>259</v>
      </c>
      <c r="B260" s="2">
        <v>9</v>
      </c>
      <c r="C260" s="2" t="s">
        <v>46</v>
      </c>
      <c r="D260" s="2" t="s">
        <v>415</v>
      </c>
      <c r="E260" s="2" t="s">
        <v>378</v>
      </c>
      <c r="F260" s="2" t="s">
        <v>75</v>
      </c>
      <c r="G260" s="2" t="s">
        <v>44</v>
      </c>
      <c r="H260" s="23">
        <v>645</v>
      </c>
      <c r="I260" s="6">
        <v>1000</v>
      </c>
      <c r="J260" s="1" t="s">
        <v>163</v>
      </c>
      <c r="K260" s="6">
        <v>900</v>
      </c>
      <c r="L260" s="50" t="s">
        <v>215</v>
      </c>
      <c r="M260" s="70" t="str">
        <f>VLOOKUP(Table3[[#This Row],[Shop Name]],seller!A:A,1,0)</f>
        <v>Rudra Fashion</v>
      </c>
    </row>
    <row r="261" spans="1:13" ht="32" x14ac:dyDescent="0.2">
      <c r="A261" s="2">
        <v>260</v>
      </c>
      <c r="B261" s="2">
        <v>8</v>
      </c>
      <c r="C261" s="2" t="s">
        <v>46</v>
      </c>
      <c r="D261" s="2" t="s">
        <v>416</v>
      </c>
      <c r="E261" s="2" t="s">
        <v>7</v>
      </c>
      <c r="F261" s="2" t="s">
        <v>75</v>
      </c>
      <c r="G261" s="2" t="s">
        <v>54</v>
      </c>
      <c r="H261" s="23">
        <v>395</v>
      </c>
      <c r="I261" s="6">
        <v>700</v>
      </c>
      <c r="J261" s="1" t="s">
        <v>163</v>
      </c>
      <c r="K261" s="6">
        <v>700</v>
      </c>
      <c r="L261" s="50" t="s">
        <v>214</v>
      </c>
      <c r="M261" s="70" t="str">
        <f>VLOOKUP(Table3[[#This Row],[Shop Name]],seller!A:A,1,0)</f>
        <v>Rudra Fashion</v>
      </c>
    </row>
    <row r="262" spans="1:13" x14ac:dyDescent="0.2">
      <c r="A262" s="2">
        <v>261</v>
      </c>
      <c r="B262" s="2">
        <v>4</v>
      </c>
      <c r="C262" s="2" t="s">
        <v>634</v>
      </c>
      <c r="D262" s="2" t="s">
        <v>418</v>
      </c>
      <c r="E262" s="2" t="s">
        <v>7</v>
      </c>
      <c r="F262" s="2" t="s">
        <v>75</v>
      </c>
      <c r="G262" s="2" t="s">
        <v>44</v>
      </c>
      <c r="H262" s="23">
        <v>805</v>
      </c>
      <c r="I262" s="6">
        <v>1155</v>
      </c>
      <c r="J262" s="1" t="s">
        <v>127</v>
      </c>
      <c r="K262" s="6">
        <v>0</v>
      </c>
      <c r="M262" s="70" t="str">
        <f>VLOOKUP(Table3[[#This Row],[Shop Name]],seller!A:A,1,0)</f>
        <v>Rudra Fashion</v>
      </c>
    </row>
    <row r="263" spans="1:13" x14ac:dyDescent="0.2">
      <c r="A263" s="2">
        <v>262</v>
      </c>
      <c r="B263" s="2">
        <v>7</v>
      </c>
      <c r="C263" s="8" t="s">
        <v>634</v>
      </c>
      <c r="D263" s="8" t="s">
        <v>705</v>
      </c>
      <c r="E263" s="8" t="s">
        <v>252</v>
      </c>
      <c r="F263" s="8" t="s">
        <v>75</v>
      </c>
      <c r="G263" s="2" t="s">
        <v>54</v>
      </c>
      <c r="H263" s="23">
        <v>985</v>
      </c>
      <c r="I263" s="6">
        <v>1350</v>
      </c>
      <c r="J263" s="1" t="s">
        <v>127</v>
      </c>
      <c r="K263" s="6">
        <v>0</v>
      </c>
      <c r="M263" s="70" t="str">
        <f>VLOOKUP(Table3[[#This Row],[Shop Name]],seller!A:A,1,0)</f>
        <v>Rudra Fashion</v>
      </c>
    </row>
    <row r="264" spans="1:13" ht="32" x14ac:dyDescent="0.2">
      <c r="A264" s="2">
        <v>263</v>
      </c>
      <c r="B264" s="2">
        <v>6</v>
      </c>
      <c r="C264" s="2" t="s">
        <v>634</v>
      </c>
      <c r="D264" s="2" t="s">
        <v>417</v>
      </c>
      <c r="E264" s="2" t="s">
        <v>249</v>
      </c>
      <c r="F264" s="8" t="s">
        <v>75</v>
      </c>
      <c r="G264" s="2" t="s">
        <v>44</v>
      </c>
      <c r="H264" s="23">
        <v>1365</v>
      </c>
      <c r="I264" s="6">
        <v>1700</v>
      </c>
      <c r="J264" s="1" t="s">
        <v>163</v>
      </c>
      <c r="K264" s="6">
        <v>1620</v>
      </c>
      <c r="L264" s="50" t="s">
        <v>508</v>
      </c>
      <c r="M264" s="70" t="str">
        <f>VLOOKUP(Table3[[#This Row],[Shop Name]],seller!A:A,1,0)</f>
        <v>Rudra Fashion</v>
      </c>
    </row>
    <row r="265" spans="1:13" x14ac:dyDescent="0.2">
      <c r="A265" s="2">
        <v>264</v>
      </c>
      <c r="B265" s="2">
        <v>5</v>
      </c>
      <c r="C265" s="2" t="s">
        <v>419</v>
      </c>
      <c r="D265" s="2" t="s">
        <v>421</v>
      </c>
      <c r="E265" s="2" t="s">
        <v>7</v>
      </c>
      <c r="F265" s="8" t="s">
        <v>75</v>
      </c>
      <c r="G265" s="2" t="s">
        <v>44</v>
      </c>
      <c r="H265" s="23">
        <v>405</v>
      </c>
      <c r="I265" s="6">
        <v>750</v>
      </c>
      <c r="J265" s="1" t="s">
        <v>163</v>
      </c>
      <c r="K265" s="6">
        <v>725</v>
      </c>
      <c r="L265" s="50" t="s">
        <v>496</v>
      </c>
      <c r="M265" s="70" t="str">
        <f>VLOOKUP(Table3[[#This Row],[Shop Name]],seller!A:A,1,0)</f>
        <v>Rudra Fashion</v>
      </c>
    </row>
    <row r="266" spans="1:13" x14ac:dyDescent="0.2">
      <c r="A266" s="2">
        <v>265</v>
      </c>
      <c r="B266" s="2">
        <v>3</v>
      </c>
      <c r="C266" s="2" t="s">
        <v>634</v>
      </c>
      <c r="D266" s="2" t="s">
        <v>420</v>
      </c>
      <c r="E266" s="8" t="s">
        <v>252</v>
      </c>
      <c r="F266" s="8" t="s">
        <v>75</v>
      </c>
      <c r="G266" s="2" t="s">
        <v>44</v>
      </c>
      <c r="H266" s="23">
        <v>905</v>
      </c>
      <c r="I266" s="6">
        <v>1300</v>
      </c>
      <c r="J266" s="1" t="s">
        <v>163</v>
      </c>
      <c r="K266" s="6">
        <v>1250</v>
      </c>
      <c r="L266" s="50" t="s">
        <v>549</v>
      </c>
      <c r="M266" s="70" t="str">
        <f>VLOOKUP(Table3[[#This Row],[Shop Name]],seller!A:A,1,0)</f>
        <v>Rudra Fashion</v>
      </c>
    </row>
    <row r="267" spans="1:13" x14ac:dyDescent="0.2">
      <c r="A267" s="2">
        <v>266</v>
      </c>
      <c r="B267" s="2">
        <v>2</v>
      </c>
      <c r="C267" s="2" t="s">
        <v>50</v>
      </c>
      <c r="D267" s="2" t="s">
        <v>465</v>
      </c>
      <c r="E267" s="2" t="s">
        <v>7</v>
      </c>
      <c r="F267" s="2" t="s">
        <v>61</v>
      </c>
      <c r="G267" s="2" t="s">
        <v>54</v>
      </c>
      <c r="H267" s="23">
        <v>550</v>
      </c>
      <c r="I267" s="6">
        <v>900</v>
      </c>
      <c r="J267" s="1" t="s">
        <v>163</v>
      </c>
      <c r="K267" s="6">
        <v>900</v>
      </c>
      <c r="L267" s="50" t="s">
        <v>509</v>
      </c>
      <c r="M267" s="70" t="str">
        <f>VLOOKUP(Table3[[#This Row],[Shop Name]],seller!A:A,1,0)</f>
        <v>RV Fashion</v>
      </c>
    </row>
    <row r="268" spans="1:13" x14ac:dyDescent="0.2">
      <c r="A268" s="2">
        <v>267</v>
      </c>
      <c r="B268" s="2" t="s">
        <v>954</v>
      </c>
      <c r="C268" s="2" t="s">
        <v>50</v>
      </c>
      <c r="D268" s="2" t="s">
        <v>465</v>
      </c>
      <c r="E268" s="2" t="s">
        <v>7</v>
      </c>
      <c r="F268" s="2" t="s">
        <v>61</v>
      </c>
      <c r="G268" s="2" t="s">
        <v>56</v>
      </c>
      <c r="H268" s="23">
        <v>550</v>
      </c>
      <c r="I268" s="6">
        <v>900</v>
      </c>
      <c r="J268" s="1" t="s">
        <v>163</v>
      </c>
      <c r="K268" s="6">
        <v>800</v>
      </c>
      <c r="L268" s="1" t="s">
        <v>972</v>
      </c>
      <c r="M268" s="70" t="str">
        <f>VLOOKUP(Table3[[#This Row],[Shop Name]],seller!A:A,1,0)</f>
        <v>RV Fashion</v>
      </c>
    </row>
    <row r="269" spans="1:13" x14ac:dyDescent="0.2">
      <c r="A269" s="2">
        <v>268</v>
      </c>
      <c r="B269" s="2">
        <v>3</v>
      </c>
      <c r="C269" s="2" t="s">
        <v>589</v>
      </c>
      <c r="D269" s="22" t="s">
        <v>468</v>
      </c>
      <c r="E269" s="2" t="s">
        <v>7</v>
      </c>
      <c r="F269" s="2" t="s">
        <v>61</v>
      </c>
      <c r="G269" s="2" t="s">
        <v>44</v>
      </c>
      <c r="H269" s="23">
        <v>220</v>
      </c>
      <c r="I269" s="6">
        <v>520</v>
      </c>
      <c r="J269" s="1" t="s">
        <v>163</v>
      </c>
      <c r="K269" s="6">
        <v>520</v>
      </c>
      <c r="L269" s="1" t="s">
        <v>651</v>
      </c>
      <c r="M269" s="70" t="str">
        <f>VLOOKUP(Table3[[#This Row],[Shop Name]],seller!A:A,1,0)</f>
        <v>RV Fashion</v>
      </c>
    </row>
    <row r="270" spans="1:13" x14ac:dyDescent="0.2">
      <c r="A270" s="2">
        <v>269</v>
      </c>
      <c r="B270" s="2">
        <v>3</v>
      </c>
      <c r="C270" s="2" t="s">
        <v>589</v>
      </c>
      <c r="D270" s="22" t="s">
        <v>467</v>
      </c>
      <c r="E270" s="2" t="s">
        <v>7</v>
      </c>
      <c r="F270" s="2" t="s">
        <v>61</v>
      </c>
      <c r="G270" s="2" t="s">
        <v>44</v>
      </c>
      <c r="H270" s="23">
        <v>220</v>
      </c>
      <c r="I270" s="6">
        <v>520</v>
      </c>
      <c r="J270" s="1" t="s">
        <v>127</v>
      </c>
      <c r="K270" s="6">
        <v>0</v>
      </c>
      <c r="M270" s="70" t="str">
        <f>VLOOKUP(Table3[[#This Row],[Shop Name]],seller!A:A,1,0)</f>
        <v>RV Fashion</v>
      </c>
    </row>
    <row r="271" spans="1:13" x14ac:dyDescent="0.2">
      <c r="A271" s="2">
        <v>270</v>
      </c>
      <c r="B271" s="2" t="s">
        <v>719</v>
      </c>
      <c r="C271" s="2" t="s">
        <v>589</v>
      </c>
      <c r="D271" s="22" t="s">
        <v>466</v>
      </c>
      <c r="E271" s="2" t="s">
        <v>7</v>
      </c>
      <c r="F271" s="2" t="s">
        <v>61</v>
      </c>
      <c r="G271" s="2" t="s">
        <v>44</v>
      </c>
      <c r="H271" s="23">
        <v>220</v>
      </c>
      <c r="I271" s="6">
        <v>520</v>
      </c>
      <c r="J271" s="1" t="s">
        <v>163</v>
      </c>
      <c r="K271" s="6">
        <v>460</v>
      </c>
      <c r="L271" s="1" t="s">
        <v>729</v>
      </c>
      <c r="M271" s="70" t="str">
        <f>VLOOKUP(Table3[[#This Row],[Shop Name]],seller!A:A,1,0)</f>
        <v>RV Fashion</v>
      </c>
    </row>
    <row r="272" spans="1:13" ht="32" x14ac:dyDescent="0.2">
      <c r="A272" s="2">
        <v>271</v>
      </c>
      <c r="B272" s="2">
        <v>4</v>
      </c>
      <c r="C272" s="2" t="s">
        <v>240</v>
      </c>
      <c r="D272" s="2" t="s">
        <v>469</v>
      </c>
      <c r="E272" s="2" t="s">
        <v>7</v>
      </c>
      <c r="F272" s="2" t="s">
        <v>61</v>
      </c>
      <c r="G272" s="2" t="s">
        <v>44</v>
      </c>
      <c r="H272" s="23">
        <v>680</v>
      </c>
      <c r="I272" s="6">
        <v>1000</v>
      </c>
      <c r="J272" s="1" t="s">
        <v>163</v>
      </c>
      <c r="K272" s="6">
        <v>950</v>
      </c>
      <c r="L272" s="50" t="s">
        <v>556</v>
      </c>
      <c r="M272" s="70" t="str">
        <f>VLOOKUP(Table3[[#This Row],[Shop Name]],seller!A:A,1,0)</f>
        <v>RV Fashion</v>
      </c>
    </row>
    <row r="273" spans="1:13" ht="32" x14ac:dyDescent="0.2">
      <c r="A273" s="2">
        <v>272</v>
      </c>
      <c r="B273" s="2">
        <v>4</v>
      </c>
      <c r="C273" s="2" t="s">
        <v>240</v>
      </c>
      <c r="D273" s="2" t="s">
        <v>470</v>
      </c>
      <c r="E273" s="2" t="s">
        <v>7</v>
      </c>
      <c r="F273" s="2" t="s">
        <v>61</v>
      </c>
      <c r="G273" s="2" t="s">
        <v>48</v>
      </c>
      <c r="H273" s="23">
        <v>680</v>
      </c>
      <c r="I273" s="6">
        <v>1000</v>
      </c>
      <c r="J273" s="1" t="s">
        <v>163</v>
      </c>
      <c r="K273" s="6">
        <v>1000</v>
      </c>
      <c r="L273" s="50" t="s">
        <v>548</v>
      </c>
      <c r="M273" s="70" t="str">
        <f>VLOOKUP(Table3[[#This Row],[Shop Name]],seller!A:A,1,0)</f>
        <v>RV Fashion</v>
      </c>
    </row>
    <row r="274" spans="1:13" ht="32" x14ac:dyDescent="0.2">
      <c r="A274" s="2">
        <v>273</v>
      </c>
      <c r="B274" s="2">
        <v>4</v>
      </c>
      <c r="C274" s="2" t="s">
        <v>240</v>
      </c>
      <c r="D274" s="2" t="s">
        <v>471</v>
      </c>
      <c r="E274" s="2" t="s">
        <v>7</v>
      </c>
      <c r="F274" s="2" t="s">
        <v>61</v>
      </c>
      <c r="G274" s="2" t="s">
        <v>44</v>
      </c>
      <c r="H274" s="23">
        <v>680</v>
      </c>
      <c r="I274" s="6">
        <v>1000</v>
      </c>
      <c r="J274" s="1" t="s">
        <v>163</v>
      </c>
      <c r="K274" s="6">
        <v>1000</v>
      </c>
      <c r="L274" s="50" t="s">
        <v>546</v>
      </c>
      <c r="M274" s="70" t="str">
        <f>VLOOKUP(Table3[[#This Row],[Shop Name]],seller!A:A,1,0)</f>
        <v>RV Fashion</v>
      </c>
    </row>
    <row r="275" spans="1:13" ht="32" x14ac:dyDescent="0.2">
      <c r="A275" s="2">
        <v>274</v>
      </c>
      <c r="B275" s="2">
        <v>4</v>
      </c>
      <c r="C275" s="2" t="s">
        <v>240</v>
      </c>
      <c r="D275" s="2" t="s">
        <v>471</v>
      </c>
      <c r="E275" s="2" t="s">
        <v>7</v>
      </c>
      <c r="F275" s="2" t="s">
        <v>61</v>
      </c>
      <c r="G275" s="2" t="s">
        <v>48</v>
      </c>
      <c r="H275" s="23">
        <v>680</v>
      </c>
      <c r="I275" s="6">
        <v>1000</v>
      </c>
      <c r="J275" s="1" t="s">
        <v>163</v>
      </c>
      <c r="K275" s="6">
        <v>1000</v>
      </c>
      <c r="L275" s="50" t="s">
        <v>545</v>
      </c>
      <c r="M275" s="70" t="str">
        <f>VLOOKUP(Table3[[#This Row],[Shop Name]],seller!A:A,1,0)</f>
        <v>RV Fashion</v>
      </c>
    </row>
    <row r="276" spans="1:13" ht="32" x14ac:dyDescent="0.2">
      <c r="A276" s="2">
        <v>275</v>
      </c>
      <c r="B276" s="2">
        <v>13</v>
      </c>
      <c r="C276" s="2" t="s">
        <v>46</v>
      </c>
      <c r="D276" s="2" t="s">
        <v>472</v>
      </c>
      <c r="E276" s="2" t="s">
        <v>7</v>
      </c>
      <c r="F276" s="2" t="s">
        <v>463</v>
      </c>
      <c r="G276" s="2" t="s">
        <v>285</v>
      </c>
      <c r="H276" s="23">
        <v>600</v>
      </c>
      <c r="I276" s="6">
        <v>915</v>
      </c>
      <c r="J276" s="1" t="s">
        <v>163</v>
      </c>
      <c r="K276" s="6">
        <v>900</v>
      </c>
      <c r="L276" s="50" t="s">
        <v>542</v>
      </c>
      <c r="M276" s="70" t="str">
        <f>VLOOKUP(Table3[[#This Row],[Shop Name]],seller!A:A,1,0)</f>
        <v>Satyam Fashion</v>
      </c>
    </row>
    <row r="277" spans="1:13" ht="32" x14ac:dyDescent="0.2">
      <c r="A277" s="2">
        <v>276</v>
      </c>
      <c r="B277" s="2">
        <v>13</v>
      </c>
      <c r="C277" s="2" t="s">
        <v>46</v>
      </c>
      <c r="D277" s="2" t="s">
        <v>722</v>
      </c>
      <c r="E277" s="2" t="s">
        <v>7</v>
      </c>
      <c r="F277" s="2" t="s">
        <v>61</v>
      </c>
      <c r="G277" s="47" t="s">
        <v>341</v>
      </c>
      <c r="H277" s="23">
        <v>600</v>
      </c>
      <c r="I277" s="6">
        <v>915</v>
      </c>
      <c r="J277" s="1" t="s">
        <v>127</v>
      </c>
      <c r="K277" s="6">
        <v>0</v>
      </c>
      <c r="M277" s="70" t="str">
        <f>VLOOKUP(Table3[[#This Row],[Shop Name]],seller!A:A,1,0)</f>
        <v>RV Fashion</v>
      </c>
    </row>
    <row r="278" spans="1:13" ht="32" x14ac:dyDescent="0.2">
      <c r="A278" s="2">
        <v>277</v>
      </c>
      <c r="B278" s="2">
        <v>2</v>
      </c>
      <c r="C278" s="2" t="s">
        <v>473</v>
      </c>
      <c r="D278" s="2" t="s">
        <v>475</v>
      </c>
      <c r="E278" s="2" t="s">
        <v>7</v>
      </c>
      <c r="F278" s="2" t="s">
        <v>463</v>
      </c>
      <c r="G278" s="2" t="s">
        <v>44</v>
      </c>
      <c r="H278" s="23">
        <v>730</v>
      </c>
      <c r="I278" s="6">
        <v>1050</v>
      </c>
      <c r="J278" s="1" t="s">
        <v>127</v>
      </c>
      <c r="K278" s="6">
        <v>0</v>
      </c>
      <c r="M278" s="70" t="str">
        <f>VLOOKUP(Table3[[#This Row],[Shop Name]],seller!A:A,1,0)</f>
        <v>Satyam Fashion</v>
      </c>
    </row>
    <row r="279" spans="1:13" ht="32" x14ac:dyDescent="0.2">
      <c r="A279" s="2">
        <v>278</v>
      </c>
      <c r="B279" s="2">
        <v>2</v>
      </c>
      <c r="C279" s="2" t="s">
        <v>473</v>
      </c>
      <c r="D279" s="2" t="s">
        <v>475</v>
      </c>
      <c r="E279" s="2" t="s">
        <v>7</v>
      </c>
      <c r="F279" s="2" t="s">
        <v>463</v>
      </c>
      <c r="G279" s="2" t="s">
        <v>54</v>
      </c>
      <c r="H279" s="23">
        <v>730</v>
      </c>
      <c r="I279" s="6">
        <v>1050</v>
      </c>
      <c r="J279" s="1" t="s">
        <v>127</v>
      </c>
      <c r="K279" s="6">
        <v>0</v>
      </c>
      <c r="M279" s="70" t="str">
        <f>VLOOKUP(Table3[[#This Row],[Shop Name]],seller!A:A,1,0)</f>
        <v>Satyam Fashion</v>
      </c>
    </row>
    <row r="280" spans="1:13" ht="32" x14ac:dyDescent="0.2">
      <c r="A280" s="2">
        <v>279</v>
      </c>
      <c r="B280" s="2">
        <v>2</v>
      </c>
      <c r="C280" s="2" t="s">
        <v>473</v>
      </c>
      <c r="D280" s="2" t="s">
        <v>475</v>
      </c>
      <c r="E280" s="2" t="s">
        <v>7</v>
      </c>
      <c r="F280" s="2" t="s">
        <v>463</v>
      </c>
      <c r="G280" s="2" t="s">
        <v>48</v>
      </c>
      <c r="H280" s="23">
        <v>730</v>
      </c>
      <c r="I280" s="6">
        <v>1050</v>
      </c>
      <c r="J280" s="1" t="s">
        <v>127</v>
      </c>
      <c r="K280" s="6">
        <v>0</v>
      </c>
      <c r="M280" s="70" t="str">
        <f>VLOOKUP(Table3[[#This Row],[Shop Name]],seller!A:A,1,0)</f>
        <v>Satyam Fashion</v>
      </c>
    </row>
    <row r="281" spans="1:13" x14ac:dyDescent="0.2">
      <c r="A281" s="2">
        <v>280</v>
      </c>
      <c r="B281" s="2">
        <v>9</v>
      </c>
      <c r="C281" s="2" t="s">
        <v>280</v>
      </c>
      <c r="D281" s="2" t="s">
        <v>474</v>
      </c>
      <c r="E281" s="2" t="s">
        <v>642</v>
      </c>
      <c r="F281" s="2" t="s">
        <v>463</v>
      </c>
      <c r="G281" s="2" t="s">
        <v>341</v>
      </c>
      <c r="H281" s="23">
        <v>990</v>
      </c>
      <c r="I281" s="6">
        <v>1499</v>
      </c>
      <c r="J281" s="1" t="s">
        <v>163</v>
      </c>
      <c r="K281" s="6">
        <v>1500</v>
      </c>
      <c r="L281" s="50" t="s">
        <v>721</v>
      </c>
      <c r="M281" s="70" t="str">
        <f>VLOOKUP(Table3[[#This Row],[Shop Name]],seller!A:A,1,0)</f>
        <v>Satyam Fashion</v>
      </c>
    </row>
    <row r="282" spans="1:13" x14ac:dyDescent="0.2">
      <c r="A282" s="2">
        <v>281</v>
      </c>
      <c r="B282" s="2" t="s">
        <v>719</v>
      </c>
      <c r="C282" s="2" t="s">
        <v>280</v>
      </c>
      <c r="D282" s="2" t="s">
        <v>476</v>
      </c>
      <c r="E282" s="2" t="s">
        <v>7</v>
      </c>
      <c r="F282" s="2" t="s">
        <v>463</v>
      </c>
      <c r="G282" s="2" t="s">
        <v>44</v>
      </c>
      <c r="H282" s="23">
        <v>820</v>
      </c>
      <c r="I282" s="6">
        <v>1200</v>
      </c>
      <c r="J282" s="1" t="s">
        <v>163</v>
      </c>
      <c r="K282" s="6">
        <v>1150</v>
      </c>
      <c r="L282" s="1" t="s">
        <v>731</v>
      </c>
      <c r="M282" s="70" t="str">
        <f>VLOOKUP(Table3[[#This Row],[Shop Name]],seller!A:A,1,0)</f>
        <v>Satyam Fashion</v>
      </c>
    </row>
    <row r="283" spans="1:13" x14ac:dyDescent="0.2">
      <c r="A283" s="2">
        <v>282</v>
      </c>
      <c r="B283" s="2">
        <v>1</v>
      </c>
      <c r="C283" s="2" t="s">
        <v>280</v>
      </c>
      <c r="D283" s="2" t="s">
        <v>476</v>
      </c>
      <c r="E283" s="2" t="s">
        <v>477</v>
      </c>
      <c r="F283" s="2" t="s">
        <v>463</v>
      </c>
      <c r="G283" s="2" t="s">
        <v>48</v>
      </c>
      <c r="H283" s="23">
        <v>820</v>
      </c>
      <c r="I283" s="6">
        <v>1200</v>
      </c>
      <c r="J283" s="1" t="s">
        <v>163</v>
      </c>
      <c r="K283" s="6">
        <v>1150</v>
      </c>
      <c r="L283" s="50" t="s">
        <v>658</v>
      </c>
      <c r="M283" s="70" t="str">
        <f>VLOOKUP(Table3[[#This Row],[Shop Name]],seller!A:A,1,0)</f>
        <v>Satyam Fashion</v>
      </c>
    </row>
    <row r="284" spans="1:13" ht="32" x14ac:dyDescent="0.2">
      <c r="A284" s="2">
        <v>283</v>
      </c>
      <c r="B284" s="2">
        <v>6</v>
      </c>
      <c r="C284" s="2" t="s">
        <v>46</v>
      </c>
      <c r="D284" s="2" t="s">
        <v>478</v>
      </c>
      <c r="E284" s="2" t="s">
        <v>7</v>
      </c>
      <c r="F284" s="2" t="s">
        <v>463</v>
      </c>
      <c r="G284" s="2" t="s">
        <v>54</v>
      </c>
      <c r="H284" s="23">
        <v>360</v>
      </c>
      <c r="I284" s="6">
        <v>680</v>
      </c>
      <c r="J284" s="1" t="s">
        <v>127</v>
      </c>
      <c r="K284" s="6">
        <v>0</v>
      </c>
      <c r="M284" s="70" t="str">
        <f>VLOOKUP(Table3[[#This Row],[Shop Name]],seller!A:A,1,0)</f>
        <v>Satyam Fashion</v>
      </c>
    </row>
    <row r="285" spans="1:13" ht="32" x14ac:dyDescent="0.2">
      <c r="A285" s="2">
        <v>284</v>
      </c>
      <c r="B285" s="2">
        <v>6</v>
      </c>
      <c r="C285" s="2" t="s">
        <v>46</v>
      </c>
      <c r="D285" s="2" t="s">
        <v>478</v>
      </c>
      <c r="E285" s="2" t="s">
        <v>7</v>
      </c>
      <c r="F285" s="2" t="s">
        <v>463</v>
      </c>
      <c r="G285" s="2" t="s">
        <v>56</v>
      </c>
      <c r="H285" s="23">
        <v>360</v>
      </c>
      <c r="I285" s="6">
        <v>680</v>
      </c>
      <c r="J285" s="1" t="s">
        <v>163</v>
      </c>
      <c r="K285" s="6">
        <v>650</v>
      </c>
      <c r="L285" s="50" t="s">
        <v>554</v>
      </c>
      <c r="M285" s="70" t="str">
        <f>VLOOKUP(Table3[[#This Row],[Shop Name]],seller!A:A,1,0)</f>
        <v>Satyam Fashion</v>
      </c>
    </row>
    <row r="286" spans="1:13" ht="32" x14ac:dyDescent="0.2">
      <c r="A286" s="2">
        <v>285</v>
      </c>
      <c r="B286" s="2">
        <v>3</v>
      </c>
      <c r="C286" s="22" t="s">
        <v>46</v>
      </c>
      <c r="D286" s="2" t="s">
        <v>479</v>
      </c>
      <c r="E286" s="2" t="s">
        <v>354</v>
      </c>
      <c r="F286" s="2" t="s">
        <v>463</v>
      </c>
      <c r="G286" s="2" t="s">
        <v>54</v>
      </c>
      <c r="H286" s="23">
        <v>545</v>
      </c>
      <c r="I286" s="6">
        <v>880</v>
      </c>
      <c r="J286" s="1" t="s">
        <v>163</v>
      </c>
      <c r="K286" s="6">
        <v>850</v>
      </c>
      <c r="L286" s="1" t="s">
        <v>656</v>
      </c>
      <c r="M286" s="70" t="str">
        <f>VLOOKUP(Table3[[#This Row],[Shop Name]],seller!A:A,1,0)</f>
        <v>Satyam Fashion</v>
      </c>
    </row>
    <row r="287" spans="1:13" ht="32" x14ac:dyDescent="0.2">
      <c r="A287" s="2">
        <v>286</v>
      </c>
      <c r="B287" s="2">
        <v>3</v>
      </c>
      <c r="C287" s="2" t="s">
        <v>46</v>
      </c>
      <c r="D287" s="2" t="s">
        <v>479</v>
      </c>
      <c r="E287" s="2" t="s">
        <v>354</v>
      </c>
      <c r="F287" s="2" t="s">
        <v>463</v>
      </c>
      <c r="G287" s="2" t="s">
        <v>56</v>
      </c>
      <c r="H287" s="23">
        <v>545</v>
      </c>
      <c r="I287" s="6">
        <v>880</v>
      </c>
      <c r="J287" s="1" t="s">
        <v>127</v>
      </c>
      <c r="K287" s="6">
        <v>0</v>
      </c>
      <c r="M287" s="70" t="str">
        <f>VLOOKUP(Table3[[#This Row],[Shop Name]],seller!A:A,1,0)</f>
        <v>Satyam Fashion</v>
      </c>
    </row>
    <row r="288" spans="1:13" ht="32" x14ac:dyDescent="0.2">
      <c r="A288" s="2">
        <v>287</v>
      </c>
      <c r="B288" s="2">
        <v>5</v>
      </c>
      <c r="C288" s="2" t="s">
        <v>46</v>
      </c>
      <c r="D288" s="2" t="s">
        <v>480</v>
      </c>
      <c r="E288" s="2" t="s">
        <v>7</v>
      </c>
      <c r="F288" s="2" t="s">
        <v>463</v>
      </c>
      <c r="G288" s="2" t="s">
        <v>54</v>
      </c>
      <c r="H288" s="23">
        <v>550</v>
      </c>
      <c r="I288" s="6">
        <v>880</v>
      </c>
      <c r="J288" s="1" t="s">
        <v>163</v>
      </c>
      <c r="K288" s="6">
        <v>880</v>
      </c>
      <c r="L288" s="50" t="s">
        <v>181</v>
      </c>
      <c r="M288" s="70" t="str">
        <f>VLOOKUP(Table3[[#This Row],[Shop Name]],seller!A:A,1,0)</f>
        <v>Satyam Fashion</v>
      </c>
    </row>
    <row r="289" spans="1:13" ht="32" x14ac:dyDescent="0.2">
      <c r="A289" s="2">
        <v>288</v>
      </c>
      <c r="B289" s="2" t="s">
        <v>687</v>
      </c>
      <c r="C289" s="2" t="s">
        <v>46</v>
      </c>
      <c r="D289" s="2" t="s">
        <v>480</v>
      </c>
      <c r="E289" s="2" t="s">
        <v>378</v>
      </c>
      <c r="F289" s="2" t="s">
        <v>463</v>
      </c>
      <c r="G289" s="2" t="s">
        <v>56</v>
      </c>
      <c r="H289" s="23">
        <v>550</v>
      </c>
      <c r="I289" s="6">
        <v>880</v>
      </c>
      <c r="J289" s="1" t="s">
        <v>163</v>
      </c>
      <c r="K289" s="6">
        <v>740</v>
      </c>
      <c r="L289" s="1" t="s">
        <v>695</v>
      </c>
      <c r="M289" s="70" t="str">
        <f>VLOOKUP(Table3[[#This Row],[Shop Name]],seller!A:A,1,0)</f>
        <v>Satyam Fashion</v>
      </c>
    </row>
    <row r="290" spans="1:13" ht="32" x14ac:dyDescent="0.2">
      <c r="A290" s="2">
        <v>289</v>
      </c>
      <c r="B290" s="2" t="s">
        <v>784</v>
      </c>
      <c r="C290" s="2" t="s">
        <v>46</v>
      </c>
      <c r="D290" s="2" t="s">
        <v>481</v>
      </c>
      <c r="E290" s="2" t="s">
        <v>7</v>
      </c>
      <c r="F290" s="2" t="s">
        <v>463</v>
      </c>
      <c r="G290" s="2" t="s">
        <v>44</v>
      </c>
      <c r="H290" s="23">
        <v>525</v>
      </c>
      <c r="I290" s="6">
        <v>880</v>
      </c>
      <c r="J290" s="1" t="s">
        <v>163</v>
      </c>
      <c r="K290" s="6">
        <v>880</v>
      </c>
      <c r="L290" s="1" t="s">
        <v>785</v>
      </c>
      <c r="M290" s="70" t="str">
        <f>VLOOKUP(Table3[[#This Row],[Shop Name]],seller!A:A,1,0)</f>
        <v>Satyam Fashion</v>
      </c>
    </row>
    <row r="291" spans="1:13" ht="32" x14ac:dyDescent="0.2">
      <c r="A291" s="2">
        <v>290</v>
      </c>
      <c r="B291" s="8">
        <v>4</v>
      </c>
      <c r="C291" s="8" t="s">
        <v>46</v>
      </c>
      <c r="D291" s="2" t="s">
        <v>481</v>
      </c>
      <c r="E291" s="8" t="s">
        <v>7</v>
      </c>
      <c r="F291" s="8" t="s">
        <v>463</v>
      </c>
      <c r="G291" s="8" t="s">
        <v>48</v>
      </c>
      <c r="H291" s="42">
        <v>525</v>
      </c>
      <c r="I291" s="9">
        <v>880</v>
      </c>
      <c r="J291" s="39" t="s">
        <v>163</v>
      </c>
      <c r="K291" s="9">
        <v>850</v>
      </c>
      <c r="L291" s="54" t="s">
        <v>562</v>
      </c>
      <c r="M291" s="70" t="str">
        <f>VLOOKUP(Table3[[#This Row],[Shop Name]],seller!A:A,1,0)</f>
        <v>Satyam Fashion</v>
      </c>
    </row>
    <row r="292" spans="1:13" ht="32" x14ac:dyDescent="0.2">
      <c r="A292" s="2">
        <v>291</v>
      </c>
      <c r="B292" s="2">
        <v>7</v>
      </c>
      <c r="C292" s="8" t="s">
        <v>46</v>
      </c>
      <c r="D292" s="2" t="s">
        <v>482</v>
      </c>
      <c r="E292" s="8" t="s">
        <v>7</v>
      </c>
      <c r="F292" s="8" t="s">
        <v>463</v>
      </c>
      <c r="G292" s="8" t="s">
        <v>54</v>
      </c>
      <c r="H292" s="23">
        <v>550</v>
      </c>
      <c r="I292" s="6">
        <v>880</v>
      </c>
      <c r="J292" s="1" t="s">
        <v>163</v>
      </c>
      <c r="K292" s="6">
        <v>750</v>
      </c>
      <c r="L292" s="50" t="s">
        <v>499</v>
      </c>
      <c r="M292" s="70" t="str">
        <f>VLOOKUP(Table3[[#This Row],[Shop Name]],seller!A:A,1,0)</f>
        <v>Satyam Fashion</v>
      </c>
    </row>
    <row r="293" spans="1:13" ht="32" x14ac:dyDescent="0.2">
      <c r="A293" s="2">
        <v>292</v>
      </c>
      <c r="B293" s="2">
        <v>7</v>
      </c>
      <c r="C293" s="8" t="s">
        <v>46</v>
      </c>
      <c r="D293" s="2" t="s">
        <v>482</v>
      </c>
      <c r="E293" s="8" t="s">
        <v>7</v>
      </c>
      <c r="F293" s="8" t="s">
        <v>463</v>
      </c>
      <c r="G293" s="8" t="s">
        <v>48</v>
      </c>
      <c r="H293" s="23">
        <v>550</v>
      </c>
      <c r="I293" s="6">
        <v>880</v>
      </c>
      <c r="J293" s="1" t="s">
        <v>163</v>
      </c>
      <c r="K293" s="6">
        <v>850</v>
      </c>
      <c r="L293" s="50" t="s">
        <v>558</v>
      </c>
      <c r="M293" s="70" t="str">
        <f>VLOOKUP(Table3[[#This Row],[Shop Name]],seller!A:A,1,0)</f>
        <v>Satyam Fashion</v>
      </c>
    </row>
    <row r="294" spans="1:13" ht="32" x14ac:dyDescent="0.2">
      <c r="A294" s="2">
        <v>293</v>
      </c>
      <c r="B294" s="2" t="s">
        <v>687</v>
      </c>
      <c r="C294" s="8" t="s">
        <v>46</v>
      </c>
      <c r="D294" s="2" t="s">
        <v>483</v>
      </c>
      <c r="E294" s="8" t="s">
        <v>7</v>
      </c>
      <c r="F294" s="8" t="s">
        <v>463</v>
      </c>
      <c r="G294" s="8" t="s">
        <v>54</v>
      </c>
      <c r="H294" s="23">
        <v>590</v>
      </c>
      <c r="I294" s="6">
        <v>920</v>
      </c>
      <c r="J294" s="1" t="s">
        <v>163</v>
      </c>
      <c r="K294" s="6">
        <v>880</v>
      </c>
      <c r="L294" s="1" t="s">
        <v>690</v>
      </c>
      <c r="M294" s="70" t="str">
        <f>VLOOKUP(Table3[[#This Row],[Shop Name]],seller!A:A,1,0)</f>
        <v>Satyam Fashion</v>
      </c>
    </row>
    <row r="295" spans="1:13" ht="32" x14ac:dyDescent="0.2">
      <c r="A295" s="2">
        <v>294</v>
      </c>
      <c r="B295" s="2">
        <v>10</v>
      </c>
      <c r="C295" s="8" t="s">
        <v>46</v>
      </c>
      <c r="D295" s="2" t="s">
        <v>483</v>
      </c>
      <c r="E295" s="8" t="s">
        <v>7</v>
      </c>
      <c r="F295" s="8" t="s">
        <v>463</v>
      </c>
      <c r="G295" s="8" t="s">
        <v>56</v>
      </c>
      <c r="H295" s="23">
        <v>590</v>
      </c>
      <c r="I295" s="6">
        <v>920</v>
      </c>
      <c r="J295" s="1" t="s">
        <v>163</v>
      </c>
      <c r="K295" s="6">
        <v>850</v>
      </c>
      <c r="L295" s="50" t="s">
        <v>502</v>
      </c>
      <c r="M295" s="70" t="str">
        <f>VLOOKUP(Table3[[#This Row],[Shop Name]],seller!A:A,1,0)</f>
        <v>Satyam Fashion</v>
      </c>
    </row>
    <row r="296" spans="1:13" x14ac:dyDescent="0.2">
      <c r="A296" s="2">
        <v>295</v>
      </c>
      <c r="B296" s="2" t="s">
        <v>687</v>
      </c>
      <c r="C296" s="2" t="s">
        <v>50</v>
      </c>
      <c r="D296" s="2" t="s">
        <v>484</v>
      </c>
      <c r="E296" s="8" t="s">
        <v>7</v>
      </c>
      <c r="F296" s="8" t="s">
        <v>463</v>
      </c>
      <c r="G296" s="2" t="s">
        <v>54</v>
      </c>
      <c r="H296" s="23">
        <v>580</v>
      </c>
      <c r="I296" s="6">
        <v>900</v>
      </c>
      <c r="J296" s="1" t="s">
        <v>163</v>
      </c>
      <c r="K296" s="6">
        <v>850</v>
      </c>
      <c r="L296" s="1" t="s">
        <v>693</v>
      </c>
      <c r="M296" s="70" t="str">
        <f>VLOOKUP(Table3[[#This Row],[Shop Name]],seller!A:A,1,0)</f>
        <v>Satyam Fashion</v>
      </c>
    </row>
    <row r="297" spans="1:13" x14ac:dyDescent="0.2">
      <c r="A297" s="2">
        <v>296</v>
      </c>
      <c r="B297" s="2">
        <v>1</v>
      </c>
      <c r="C297" s="2" t="s">
        <v>393</v>
      </c>
      <c r="D297" s="2" t="s">
        <v>488</v>
      </c>
      <c r="E297" s="2" t="s">
        <v>486</v>
      </c>
      <c r="F297" s="2" t="s">
        <v>485</v>
      </c>
      <c r="G297" s="2" t="s">
        <v>267</v>
      </c>
      <c r="H297" s="23">
        <v>450</v>
      </c>
      <c r="I297" s="6">
        <v>800</v>
      </c>
      <c r="J297" s="1" t="s">
        <v>163</v>
      </c>
      <c r="K297" s="6">
        <v>450</v>
      </c>
      <c r="L297" s="1" t="s">
        <v>333</v>
      </c>
      <c r="M297" s="70" t="str">
        <f>VLOOKUP(Table3[[#This Row],[Shop Name]],seller!A:A,1,0)</f>
        <v>Ajit Kumar Das</v>
      </c>
    </row>
    <row r="298" spans="1:13" x14ac:dyDescent="0.2">
      <c r="A298" s="2">
        <v>297</v>
      </c>
      <c r="B298" s="2">
        <v>2</v>
      </c>
      <c r="C298" s="2" t="s">
        <v>393</v>
      </c>
      <c r="D298" s="2" t="s">
        <v>489</v>
      </c>
      <c r="E298" s="2" t="s">
        <v>486</v>
      </c>
      <c r="F298" s="2" t="s">
        <v>485</v>
      </c>
      <c r="G298" s="2" t="s">
        <v>267</v>
      </c>
      <c r="H298" s="23">
        <v>500</v>
      </c>
      <c r="I298" s="6">
        <v>900</v>
      </c>
      <c r="J298" s="1" t="s">
        <v>127</v>
      </c>
      <c r="K298" s="6">
        <v>0</v>
      </c>
      <c r="M298" s="70" t="str">
        <f>VLOOKUP(Table3[[#This Row],[Shop Name]],seller!A:A,1,0)</f>
        <v>Ajit Kumar Das</v>
      </c>
    </row>
    <row r="299" spans="1:13" x14ac:dyDescent="0.2">
      <c r="A299" s="2">
        <v>298</v>
      </c>
      <c r="B299" s="2">
        <v>3</v>
      </c>
      <c r="C299" s="2" t="s">
        <v>393</v>
      </c>
      <c r="D299" s="2" t="s">
        <v>491</v>
      </c>
      <c r="E299" s="2" t="s">
        <v>486</v>
      </c>
      <c r="F299" s="2" t="s">
        <v>485</v>
      </c>
      <c r="G299" s="2" t="s">
        <v>267</v>
      </c>
      <c r="H299" s="23">
        <v>520</v>
      </c>
      <c r="I299" s="6">
        <v>1020</v>
      </c>
      <c r="J299" s="1" t="s">
        <v>127</v>
      </c>
      <c r="K299" s="6">
        <v>0</v>
      </c>
      <c r="M299" s="70" t="str">
        <f>VLOOKUP(Table3[[#This Row],[Shop Name]],seller!A:A,1,0)</f>
        <v>Ajit Kumar Das</v>
      </c>
    </row>
    <row r="300" spans="1:13" x14ac:dyDescent="0.2">
      <c r="A300" s="2">
        <v>299</v>
      </c>
      <c r="B300" s="2">
        <v>3</v>
      </c>
      <c r="C300" s="2" t="s">
        <v>393</v>
      </c>
      <c r="D300" s="2" t="s">
        <v>492</v>
      </c>
      <c r="E300" s="2" t="s">
        <v>486</v>
      </c>
      <c r="F300" s="2" t="s">
        <v>485</v>
      </c>
      <c r="G300" s="2" t="s">
        <v>267</v>
      </c>
      <c r="H300" s="23">
        <v>520</v>
      </c>
      <c r="I300" s="6">
        <v>1020</v>
      </c>
      <c r="J300" s="1" t="s">
        <v>127</v>
      </c>
      <c r="K300" s="6">
        <v>0</v>
      </c>
      <c r="M300" s="70" t="str">
        <f>VLOOKUP(Table3[[#This Row],[Shop Name]],seller!A:A,1,0)</f>
        <v>Ajit Kumar Das</v>
      </c>
    </row>
    <row r="301" spans="1:13" x14ac:dyDescent="0.2">
      <c r="A301" s="2">
        <v>300</v>
      </c>
      <c r="B301" s="2">
        <v>4</v>
      </c>
      <c r="C301" s="2" t="s">
        <v>393</v>
      </c>
      <c r="D301" s="2" t="s">
        <v>490</v>
      </c>
      <c r="E301" s="2" t="s">
        <v>486</v>
      </c>
      <c r="F301" s="2" t="s">
        <v>485</v>
      </c>
      <c r="G301" s="2" t="s">
        <v>267</v>
      </c>
      <c r="H301" s="23">
        <v>750</v>
      </c>
      <c r="I301" s="6">
        <v>1050</v>
      </c>
      <c r="J301" s="1" t="s">
        <v>163</v>
      </c>
      <c r="K301" s="6">
        <v>1050</v>
      </c>
      <c r="L301" s="1" t="s">
        <v>802</v>
      </c>
      <c r="M301" s="70" t="str">
        <f>VLOOKUP(Table3[[#This Row],[Shop Name]],seller!A:A,1,0)</f>
        <v>Ajit Kumar Das</v>
      </c>
    </row>
    <row r="302" spans="1:13" x14ac:dyDescent="0.2">
      <c r="A302" s="2">
        <v>301</v>
      </c>
      <c r="B302" s="2">
        <v>5</v>
      </c>
      <c r="C302" s="2" t="s">
        <v>393</v>
      </c>
      <c r="D302" s="2" t="s">
        <v>493</v>
      </c>
      <c r="E302" s="2" t="s">
        <v>486</v>
      </c>
      <c r="F302" s="2" t="s">
        <v>485</v>
      </c>
      <c r="G302" s="2" t="s">
        <v>267</v>
      </c>
      <c r="H302" s="23">
        <v>760</v>
      </c>
      <c r="I302" s="6">
        <v>1260</v>
      </c>
      <c r="J302" s="1" t="s">
        <v>127</v>
      </c>
      <c r="K302" s="6">
        <v>0</v>
      </c>
      <c r="M302" s="70" t="str">
        <f>VLOOKUP(Table3[[#This Row],[Shop Name]],seller!A:A,1,0)</f>
        <v>Ajit Kumar Das</v>
      </c>
    </row>
    <row r="303" spans="1:13" x14ac:dyDescent="0.2">
      <c r="A303" s="2">
        <v>302</v>
      </c>
      <c r="B303" s="2">
        <v>6</v>
      </c>
      <c r="C303" s="2" t="s">
        <v>393</v>
      </c>
      <c r="D303" s="2" t="s">
        <v>494</v>
      </c>
      <c r="E303" s="2" t="s">
        <v>486</v>
      </c>
      <c r="F303" s="2" t="s">
        <v>485</v>
      </c>
      <c r="G303" s="2" t="s">
        <v>267</v>
      </c>
      <c r="H303" s="23">
        <v>740</v>
      </c>
      <c r="I303" s="6">
        <v>1250</v>
      </c>
      <c r="J303" s="1" t="s">
        <v>163</v>
      </c>
      <c r="K303" s="6">
        <v>740</v>
      </c>
      <c r="L303" s="1" t="s">
        <v>333</v>
      </c>
      <c r="M303" s="70" t="str">
        <f>VLOOKUP(Table3[[#This Row],[Shop Name]],seller!A:A,1,0)</f>
        <v>Ajit Kumar Das</v>
      </c>
    </row>
    <row r="304" spans="1:13" x14ac:dyDescent="0.2">
      <c r="A304" s="2">
        <v>303</v>
      </c>
      <c r="B304" s="2">
        <v>6</v>
      </c>
      <c r="C304" s="2" t="s">
        <v>393</v>
      </c>
      <c r="D304" s="2" t="s">
        <v>495</v>
      </c>
      <c r="E304" s="2" t="s">
        <v>486</v>
      </c>
      <c r="F304" s="2" t="s">
        <v>485</v>
      </c>
      <c r="G304" s="2" t="s">
        <v>267</v>
      </c>
      <c r="H304" s="23">
        <v>740</v>
      </c>
      <c r="I304" s="6">
        <v>1250</v>
      </c>
      <c r="J304" s="1" t="s">
        <v>127</v>
      </c>
      <c r="K304" s="6">
        <v>0</v>
      </c>
      <c r="M304" s="70" t="str">
        <f>VLOOKUP(Table3[[#This Row],[Shop Name]],seller!A:A,1,0)</f>
        <v>Ajit Kumar Das</v>
      </c>
    </row>
    <row r="305" spans="1:13" x14ac:dyDescent="0.2">
      <c r="A305" s="2">
        <v>304</v>
      </c>
      <c r="B305" s="2">
        <v>16</v>
      </c>
      <c r="C305" s="8" t="s">
        <v>359</v>
      </c>
      <c r="D305" s="2" t="s">
        <v>535</v>
      </c>
      <c r="E305" s="2" t="s">
        <v>7</v>
      </c>
      <c r="F305" s="2" t="s">
        <v>75</v>
      </c>
      <c r="G305" s="2" t="s">
        <v>267</v>
      </c>
      <c r="H305" s="23">
        <v>320</v>
      </c>
      <c r="I305" s="6">
        <v>550</v>
      </c>
      <c r="J305" s="1" t="s">
        <v>163</v>
      </c>
      <c r="K305" s="6">
        <v>500</v>
      </c>
      <c r="L305" s="1" t="s">
        <v>651</v>
      </c>
      <c r="M305" s="70" t="str">
        <f>VLOOKUP(Table3[[#This Row],[Shop Name]],seller!A:A,1,0)</f>
        <v>Rudra Fashion</v>
      </c>
    </row>
    <row r="306" spans="1:13" x14ac:dyDescent="0.2">
      <c r="A306" s="2">
        <v>305</v>
      </c>
      <c r="B306" s="2"/>
      <c r="C306" s="2" t="s">
        <v>576</v>
      </c>
      <c r="D306" s="2" t="s">
        <v>519</v>
      </c>
      <c r="E306" s="2" t="s">
        <v>7</v>
      </c>
      <c r="F306" s="2" t="s">
        <v>75</v>
      </c>
      <c r="G306" s="2" t="s">
        <v>267</v>
      </c>
      <c r="H306" s="23">
        <v>265</v>
      </c>
      <c r="I306" s="6">
        <v>450</v>
      </c>
      <c r="J306" s="1" t="s">
        <v>127</v>
      </c>
      <c r="K306" s="6">
        <v>0</v>
      </c>
      <c r="M306" s="70" t="str">
        <f>VLOOKUP(Table3[[#This Row],[Shop Name]],seller!A:A,1,0)</f>
        <v>Rudra Fashion</v>
      </c>
    </row>
    <row r="307" spans="1:13" x14ac:dyDescent="0.2">
      <c r="A307" s="2">
        <v>306</v>
      </c>
      <c r="B307" s="2">
        <v>2</v>
      </c>
      <c r="C307" s="2" t="s">
        <v>50</v>
      </c>
      <c r="D307" s="2" t="s">
        <v>534</v>
      </c>
      <c r="E307" s="2" t="s">
        <v>7</v>
      </c>
      <c r="F307" s="2" t="s">
        <v>75</v>
      </c>
      <c r="G307" s="2" t="s">
        <v>48</v>
      </c>
      <c r="H307" s="23">
        <v>735</v>
      </c>
      <c r="I307" s="6">
        <v>1000</v>
      </c>
      <c r="J307" s="1" t="s">
        <v>127</v>
      </c>
      <c r="K307" s="6">
        <v>0</v>
      </c>
      <c r="M307" s="70" t="str">
        <f>VLOOKUP(Table3[[#This Row],[Shop Name]],seller!A:A,1,0)</f>
        <v>Rudra Fashion</v>
      </c>
    </row>
    <row r="308" spans="1:13" x14ac:dyDescent="0.2">
      <c r="A308" s="2">
        <v>307</v>
      </c>
      <c r="B308" s="2" t="s">
        <v>687</v>
      </c>
      <c r="C308" s="2" t="s">
        <v>50</v>
      </c>
      <c r="D308" s="2" t="s">
        <v>533</v>
      </c>
      <c r="E308" s="2" t="s">
        <v>7</v>
      </c>
      <c r="F308" s="2" t="s">
        <v>75</v>
      </c>
      <c r="G308" s="2" t="s">
        <v>48</v>
      </c>
      <c r="H308" s="23">
        <v>580</v>
      </c>
      <c r="I308" s="6">
        <v>880</v>
      </c>
      <c r="J308" s="1" t="s">
        <v>163</v>
      </c>
      <c r="K308" s="6">
        <v>740</v>
      </c>
      <c r="L308" s="1" t="s">
        <v>695</v>
      </c>
      <c r="M308" s="70" t="str">
        <f>VLOOKUP(Table3[[#This Row],[Shop Name]],seller!A:A,1,0)</f>
        <v>Rudra Fashion</v>
      </c>
    </row>
    <row r="309" spans="1:13" x14ac:dyDescent="0.2">
      <c r="A309" s="2">
        <v>308</v>
      </c>
      <c r="B309" s="2">
        <v>1</v>
      </c>
      <c r="C309" s="2" t="s">
        <v>50</v>
      </c>
      <c r="D309" s="2" t="s">
        <v>532</v>
      </c>
      <c r="E309" s="2" t="s">
        <v>7</v>
      </c>
      <c r="F309" s="2" t="s">
        <v>75</v>
      </c>
      <c r="G309" s="2" t="s">
        <v>54</v>
      </c>
      <c r="H309" s="23">
        <v>580</v>
      </c>
      <c r="I309" s="6">
        <v>880</v>
      </c>
      <c r="J309" s="1" t="s">
        <v>163</v>
      </c>
      <c r="K309" s="6">
        <v>880</v>
      </c>
      <c r="L309" s="1" t="s">
        <v>645</v>
      </c>
      <c r="M309" s="70" t="str">
        <f>VLOOKUP(Table3[[#This Row],[Shop Name]],seller!A:A,1,0)</f>
        <v>Rudra Fashion</v>
      </c>
    </row>
    <row r="310" spans="1:13" x14ac:dyDescent="0.2">
      <c r="A310" s="2">
        <v>309</v>
      </c>
      <c r="B310" s="2" t="s">
        <v>719</v>
      </c>
      <c r="C310" s="2" t="s">
        <v>43</v>
      </c>
      <c r="D310" s="2" t="s">
        <v>531</v>
      </c>
      <c r="E310" s="2" t="s">
        <v>7</v>
      </c>
      <c r="F310" s="2" t="s">
        <v>75</v>
      </c>
      <c r="G310" s="2" t="s">
        <v>48</v>
      </c>
      <c r="H310" s="23">
        <v>465</v>
      </c>
      <c r="I310" s="6">
        <v>700</v>
      </c>
      <c r="J310" s="1" t="s">
        <v>163</v>
      </c>
      <c r="K310" s="6">
        <v>650</v>
      </c>
      <c r="L310" s="1" t="s">
        <v>724</v>
      </c>
      <c r="M310" s="70" t="str">
        <f>VLOOKUP(Table3[[#This Row],[Shop Name]],seller!A:A,1,0)</f>
        <v>Rudra Fashion</v>
      </c>
    </row>
    <row r="311" spans="1:13" ht="32" x14ac:dyDescent="0.2">
      <c r="A311" s="2">
        <v>310</v>
      </c>
      <c r="B311" s="2">
        <v>4</v>
      </c>
      <c r="C311" s="8" t="s">
        <v>46</v>
      </c>
      <c r="D311" s="2" t="s">
        <v>530</v>
      </c>
      <c r="E311" s="2" t="s">
        <v>7</v>
      </c>
      <c r="F311" s="2" t="s">
        <v>75</v>
      </c>
      <c r="G311" s="2" t="s">
        <v>48</v>
      </c>
      <c r="H311" s="23">
        <v>575</v>
      </c>
      <c r="I311" s="6">
        <v>880</v>
      </c>
      <c r="J311" s="1" t="s">
        <v>127</v>
      </c>
      <c r="K311" s="6">
        <v>0</v>
      </c>
      <c r="M311" s="70" t="str">
        <f>VLOOKUP(Table3[[#This Row],[Shop Name]],seller!A:A,1,0)</f>
        <v>Rudra Fashion</v>
      </c>
    </row>
    <row r="312" spans="1:13" ht="32" x14ac:dyDescent="0.2">
      <c r="A312" s="2">
        <v>311</v>
      </c>
      <c r="B312" s="2">
        <v>4</v>
      </c>
      <c r="C312" s="8" t="s">
        <v>46</v>
      </c>
      <c r="D312" s="2" t="s">
        <v>529</v>
      </c>
      <c r="E312" s="2" t="s">
        <v>7</v>
      </c>
      <c r="F312" s="2" t="s">
        <v>75</v>
      </c>
      <c r="G312" s="2" t="s">
        <v>54</v>
      </c>
      <c r="H312" s="23">
        <v>575</v>
      </c>
      <c r="I312" s="6">
        <v>880</v>
      </c>
      <c r="J312" s="1" t="s">
        <v>127</v>
      </c>
      <c r="K312" s="6">
        <v>0</v>
      </c>
      <c r="M312" s="70" t="str">
        <f>VLOOKUP(Table3[[#This Row],[Shop Name]],seller!A:A,1,0)</f>
        <v>Rudra Fashion</v>
      </c>
    </row>
    <row r="313" spans="1:13" x14ac:dyDescent="0.2">
      <c r="A313" s="2">
        <v>312</v>
      </c>
      <c r="B313" s="2">
        <v>5</v>
      </c>
      <c r="C313" s="22" t="s">
        <v>59</v>
      </c>
      <c r="D313" s="2" t="s">
        <v>528</v>
      </c>
      <c r="E313" s="2" t="s">
        <v>7</v>
      </c>
      <c r="F313" s="2" t="s">
        <v>75</v>
      </c>
      <c r="G313" s="2" t="s">
        <v>54</v>
      </c>
      <c r="H313" s="23">
        <v>435</v>
      </c>
      <c r="I313" s="6">
        <v>650</v>
      </c>
      <c r="J313" s="1" t="s">
        <v>127</v>
      </c>
      <c r="K313" s="6">
        <v>0</v>
      </c>
      <c r="M313" s="70" t="str">
        <f>VLOOKUP(Table3[[#This Row],[Shop Name]],seller!A:A,1,0)</f>
        <v>Rudra Fashion</v>
      </c>
    </row>
    <row r="314" spans="1:13" ht="32" x14ac:dyDescent="0.2">
      <c r="A314" s="2">
        <v>313</v>
      </c>
      <c r="B314" s="2">
        <v>6</v>
      </c>
      <c r="C314" s="8" t="s">
        <v>46</v>
      </c>
      <c r="D314" s="2" t="s">
        <v>527</v>
      </c>
      <c r="E314" s="2" t="s">
        <v>520</v>
      </c>
      <c r="F314" s="2" t="s">
        <v>75</v>
      </c>
      <c r="G314" s="2" t="s">
        <v>44</v>
      </c>
      <c r="H314" s="23">
        <v>395</v>
      </c>
      <c r="I314" s="6">
        <v>750</v>
      </c>
      <c r="J314" s="1" t="s">
        <v>127</v>
      </c>
      <c r="K314" s="6">
        <v>0</v>
      </c>
      <c r="M314" s="70" t="str">
        <f>VLOOKUP(Table3[[#This Row],[Shop Name]],seller!A:A,1,0)</f>
        <v>Rudra Fashion</v>
      </c>
    </row>
    <row r="315" spans="1:13" x14ac:dyDescent="0.2">
      <c r="A315" s="2">
        <v>314</v>
      </c>
      <c r="B315" s="2">
        <v>7</v>
      </c>
      <c r="C315" s="2" t="s">
        <v>50</v>
      </c>
      <c r="D315" s="2" t="s">
        <v>525</v>
      </c>
      <c r="E315" s="2" t="s">
        <v>7</v>
      </c>
      <c r="F315" s="2" t="s">
        <v>75</v>
      </c>
      <c r="G315" s="2" t="s">
        <v>48</v>
      </c>
      <c r="H315" s="23">
        <v>575</v>
      </c>
      <c r="I315" s="6">
        <v>900</v>
      </c>
      <c r="J315" s="1" t="s">
        <v>127</v>
      </c>
      <c r="K315" s="6">
        <v>0</v>
      </c>
      <c r="M315" s="70" t="str">
        <f>VLOOKUP(Table3[[#This Row],[Shop Name]],seller!A:A,1,0)</f>
        <v>Rudra Fashion</v>
      </c>
    </row>
    <row r="316" spans="1:13" ht="32" x14ac:dyDescent="0.2">
      <c r="A316" s="22">
        <v>315</v>
      </c>
      <c r="B316" s="2" t="s">
        <v>954</v>
      </c>
      <c r="C316" s="8" t="s">
        <v>46</v>
      </c>
      <c r="D316" s="2" t="s">
        <v>524</v>
      </c>
      <c r="E316" s="2" t="s">
        <v>7</v>
      </c>
      <c r="F316" s="2" t="s">
        <v>75</v>
      </c>
      <c r="G316" s="2" t="s">
        <v>48</v>
      </c>
      <c r="H316" s="23">
        <v>645</v>
      </c>
      <c r="I316" s="6">
        <v>850</v>
      </c>
      <c r="J316" s="1" t="s">
        <v>163</v>
      </c>
      <c r="K316" s="6">
        <v>800</v>
      </c>
      <c r="L316" s="1" t="s">
        <v>979</v>
      </c>
      <c r="M316" s="70" t="str">
        <f>VLOOKUP(Table3[[#This Row],[Shop Name]],seller!A:A,1,0)</f>
        <v>Rudra Fashion</v>
      </c>
    </row>
    <row r="317" spans="1:13" ht="32" x14ac:dyDescent="0.2">
      <c r="A317" s="2">
        <v>316</v>
      </c>
      <c r="B317" s="2" t="s">
        <v>804</v>
      </c>
      <c r="C317" s="8" t="s">
        <v>46</v>
      </c>
      <c r="D317" s="2" t="s">
        <v>523</v>
      </c>
      <c r="E317" s="2" t="s">
        <v>7</v>
      </c>
      <c r="F317" s="2" t="s">
        <v>75</v>
      </c>
      <c r="G317" s="2" t="s">
        <v>48</v>
      </c>
      <c r="H317" s="23">
        <v>635</v>
      </c>
      <c r="I317" s="6">
        <v>880</v>
      </c>
      <c r="J317" s="1" t="s">
        <v>163</v>
      </c>
      <c r="K317" s="6">
        <v>817</v>
      </c>
      <c r="L317" s="1" t="s">
        <v>810</v>
      </c>
      <c r="M317" s="70" t="str">
        <f>VLOOKUP(Table3[[#This Row],[Shop Name]],seller!A:A,1,0)</f>
        <v>Rudra Fashion</v>
      </c>
    </row>
    <row r="318" spans="1:13" ht="32" x14ac:dyDescent="0.2">
      <c r="A318" s="2">
        <v>317</v>
      </c>
      <c r="B318" s="2">
        <v>10</v>
      </c>
      <c r="C318" s="8" t="s">
        <v>46</v>
      </c>
      <c r="D318" s="2" t="s">
        <v>526</v>
      </c>
      <c r="E318" s="2" t="s">
        <v>7</v>
      </c>
      <c r="F318" s="2" t="s">
        <v>75</v>
      </c>
      <c r="G318" s="2" t="s">
        <v>48</v>
      </c>
      <c r="H318" s="23">
        <v>575</v>
      </c>
      <c r="I318" s="6">
        <v>880</v>
      </c>
      <c r="J318" s="1" t="s">
        <v>127</v>
      </c>
      <c r="K318" s="6">
        <v>0</v>
      </c>
      <c r="M318" s="70" t="str">
        <f>VLOOKUP(Table3[[#This Row],[Shop Name]],seller!A:A,1,0)</f>
        <v>Rudra Fashion</v>
      </c>
    </row>
    <row r="319" spans="1:13" ht="32" x14ac:dyDescent="0.2">
      <c r="A319" s="2">
        <v>318</v>
      </c>
      <c r="B319" s="8">
        <v>11</v>
      </c>
      <c r="C319" s="8" t="s">
        <v>46</v>
      </c>
      <c r="D319" s="8" t="s">
        <v>521</v>
      </c>
      <c r="E319" s="8" t="s">
        <v>7</v>
      </c>
      <c r="F319" s="8" t="s">
        <v>75</v>
      </c>
      <c r="G319" s="8" t="s">
        <v>54</v>
      </c>
      <c r="H319" s="42">
        <v>605</v>
      </c>
      <c r="I319" s="9">
        <v>850</v>
      </c>
      <c r="J319" s="39" t="s">
        <v>163</v>
      </c>
      <c r="K319" s="9">
        <v>605</v>
      </c>
      <c r="L319" s="39" t="s">
        <v>333</v>
      </c>
      <c r="M319" s="70" t="str">
        <f>VLOOKUP(Table3[[#This Row],[Shop Name]],seller!A:A,1,0)</f>
        <v>Rudra Fashion</v>
      </c>
    </row>
    <row r="320" spans="1:13" ht="32" x14ac:dyDescent="0.2">
      <c r="A320" s="2">
        <v>319</v>
      </c>
      <c r="B320" s="2" t="s">
        <v>885</v>
      </c>
      <c r="C320" s="8" t="s">
        <v>280</v>
      </c>
      <c r="D320" s="8" t="s">
        <v>522</v>
      </c>
      <c r="E320" s="8" t="s">
        <v>7</v>
      </c>
      <c r="F320" s="8" t="s">
        <v>75</v>
      </c>
      <c r="G320" s="8" t="s">
        <v>44</v>
      </c>
      <c r="H320" s="42">
        <v>865</v>
      </c>
      <c r="I320" s="9">
        <v>1200</v>
      </c>
      <c r="J320" s="39" t="s">
        <v>163</v>
      </c>
      <c r="K320" s="9">
        <v>1100</v>
      </c>
      <c r="L320" s="60" t="s">
        <v>914</v>
      </c>
      <c r="M320" s="70" t="str">
        <f>VLOOKUP(Table3[[#This Row],[Shop Name]],seller!A:A,1,0)</f>
        <v>Rudra Fashion</v>
      </c>
    </row>
    <row r="321" spans="1:13" x14ac:dyDescent="0.2">
      <c r="A321" s="2">
        <v>320</v>
      </c>
      <c r="B321" s="8">
        <v>15</v>
      </c>
      <c r="C321" s="8" t="s">
        <v>55</v>
      </c>
      <c r="D321" s="8" t="s">
        <v>536</v>
      </c>
      <c r="E321" s="8" t="s">
        <v>7</v>
      </c>
      <c r="F321" s="8" t="s">
        <v>75</v>
      </c>
      <c r="G321" s="8" t="s">
        <v>54</v>
      </c>
      <c r="H321" s="42">
        <v>225</v>
      </c>
      <c r="I321" s="9">
        <v>450</v>
      </c>
      <c r="J321" s="39" t="s">
        <v>163</v>
      </c>
      <c r="K321" s="9">
        <v>400</v>
      </c>
      <c r="L321" s="54" t="s">
        <v>550</v>
      </c>
      <c r="M321" s="70" t="str">
        <f>VLOOKUP(Table3[[#This Row],[Shop Name]],seller!A:A,1,0)</f>
        <v>Rudra Fashion</v>
      </c>
    </row>
    <row r="322" spans="1:13" x14ac:dyDescent="0.2">
      <c r="A322" s="2">
        <v>321</v>
      </c>
      <c r="B322" s="8">
        <v>15</v>
      </c>
      <c r="C322" s="8" t="s">
        <v>55</v>
      </c>
      <c r="D322" s="8" t="s">
        <v>537</v>
      </c>
      <c r="E322" s="8" t="s">
        <v>7</v>
      </c>
      <c r="F322" s="8" t="s">
        <v>75</v>
      </c>
      <c r="G322" s="8" t="s">
        <v>54</v>
      </c>
      <c r="H322" s="42">
        <v>225</v>
      </c>
      <c r="I322" s="9">
        <v>450</v>
      </c>
      <c r="J322" s="39" t="s">
        <v>163</v>
      </c>
      <c r="K322" s="9">
        <v>450</v>
      </c>
      <c r="L322" s="39" t="s">
        <v>444</v>
      </c>
      <c r="M322" s="70" t="str">
        <f>VLOOKUP(Table3[[#This Row],[Shop Name]],seller!A:A,1,0)</f>
        <v>Rudra Fashion</v>
      </c>
    </row>
    <row r="323" spans="1:13" x14ac:dyDescent="0.2">
      <c r="A323" s="2">
        <v>322</v>
      </c>
      <c r="B323" s="8">
        <v>14</v>
      </c>
      <c r="C323" s="8" t="s">
        <v>55</v>
      </c>
      <c r="D323" s="8" t="s">
        <v>538</v>
      </c>
      <c r="E323" s="8" t="s">
        <v>7</v>
      </c>
      <c r="F323" s="8" t="s">
        <v>75</v>
      </c>
      <c r="G323" s="8" t="s">
        <v>44</v>
      </c>
      <c r="H323" s="42">
        <v>165</v>
      </c>
      <c r="I323" s="9">
        <v>300</v>
      </c>
      <c r="J323" s="39" t="s">
        <v>127</v>
      </c>
      <c r="K323" s="9">
        <v>0</v>
      </c>
      <c r="L323" s="39"/>
      <c r="M323" s="70" t="str">
        <f>VLOOKUP(Table3[[#This Row],[Shop Name]],seller!A:A,1,0)</f>
        <v>Rudra Fashion</v>
      </c>
    </row>
    <row r="324" spans="1:13" ht="17" x14ac:dyDescent="0.2">
      <c r="A324" s="2">
        <v>323</v>
      </c>
      <c r="B324" s="8" t="s">
        <v>719</v>
      </c>
      <c r="C324" s="8" t="s">
        <v>55</v>
      </c>
      <c r="D324" s="49" t="s">
        <v>539</v>
      </c>
      <c r="E324" s="8" t="s">
        <v>7</v>
      </c>
      <c r="F324" s="8" t="s">
        <v>75</v>
      </c>
      <c r="G324" s="8" t="s">
        <v>44</v>
      </c>
      <c r="H324" s="42">
        <v>165</v>
      </c>
      <c r="I324" s="9">
        <v>300</v>
      </c>
      <c r="J324" s="39" t="s">
        <v>163</v>
      </c>
      <c r="K324" s="9">
        <v>300</v>
      </c>
      <c r="L324" s="39" t="s">
        <v>730</v>
      </c>
      <c r="M324" s="70" t="str">
        <f>VLOOKUP(Table3[[#This Row],[Shop Name]],seller!A:A,1,0)</f>
        <v>Rudra Fashion</v>
      </c>
    </row>
    <row r="325" spans="1:13" ht="17" x14ac:dyDescent="0.2">
      <c r="A325" s="2">
        <v>324</v>
      </c>
      <c r="B325" s="8">
        <v>14</v>
      </c>
      <c r="C325" s="8" t="s">
        <v>55</v>
      </c>
      <c r="D325" s="49" t="s">
        <v>540</v>
      </c>
      <c r="E325" s="8" t="s">
        <v>7</v>
      </c>
      <c r="F325" s="8" t="s">
        <v>75</v>
      </c>
      <c r="G325" s="8" t="s">
        <v>44</v>
      </c>
      <c r="H325" s="42">
        <v>165</v>
      </c>
      <c r="I325" s="9">
        <v>300</v>
      </c>
      <c r="J325" s="39" t="s">
        <v>163</v>
      </c>
      <c r="K325" s="9">
        <v>300</v>
      </c>
      <c r="L325" s="54" t="s">
        <v>553</v>
      </c>
      <c r="M325" s="70" t="str">
        <f>VLOOKUP(Table3[[#This Row],[Shop Name]],seller!A:A,1,0)</f>
        <v>Rudra Fashion</v>
      </c>
    </row>
    <row r="326" spans="1:13" ht="17" x14ac:dyDescent="0.2">
      <c r="A326" s="2">
        <v>325</v>
      </c>
      <c r="B326" s="8">
        <v>14</v>
      </c>
      <c r="C326" s="8" t="s">
        <v>55</v>
      </c>
      <c r="D326" s="49" t="s">
        <v>541</v>
      </c>
      <c r="E326" s="8" t="s">
        <v>7</v>
      </c>
      <c r="F326" s="8" t="s">
        <v>75</v>
      </c>
      <c r="G326" s="8" t="s">
        <v>44</v>
      </c>
      <c r="H326" s="42">
        <v>165</v>
      </c>
      <c r="I326" s="9">
        <v>300</v>
      </c>
      <c r="J326" s="39" t="s">
        <v>163</v>
      </c>
      <c r="K326" s="9">
        <v>300</v>
      </c>
      <c r="L326" s="39" t="s">
        <v>214</v>
      </c>
      <c r="M326" s="70" t="str">
        <f>VLOOKUP(Table3[[#This Row],[Shop Name]],seller!A:A,1,0)</f>
        <v>Rudra Fashion</v>
      </c>
    </row>
    <row r="327" spans="1:13" x14ac:dyDescent="0.2">
      <c r="A327" s="2">
        <v>326</v>
      </c>
      <c r="B327" s="2">
        <v>1</v>
      </c>
      <c r="C327" s="2" t="s">
        <v>568</v>
      </c>
      <c r="D327" s="2" t="s">
        <v>569</v>
      </c>
      <c r="E327" s="8" t="s">
        <v>7</v>
      </c>
      <c r="F327" s="2" t="s">
        <v>566</v>
      </c>
      <c r="G327" s="2" t="s">
        <v>267</v>
      </c>
      <c r="H327" s="23">
        <v>490</v>
      </c>
      <c r="I327" s="6">
        <v>850</v>
      </c>
      <c r="J327" s="1" t="s">
        <v>163</v>
      </c>
      <c r="K327" s="6">
        <v>800</v>
      </c>
      <c r="L327" s="1" t="s">
        <v>660</v>
      </c>
      <c r="M327" s="70" t="str">
        <f>VLOOKUP(Table3[[#This Row],[Shop Name]],seller!A:A,1,0)</f>
        <v>Kaaruk Fashion</v>
      </c>
    </row>
    <row r="328" spans="1:13" x14ac:dyDescent="0.2">
      <c r="A328" s="2">
        <v>327</v>
      </c>
      <c r="B328" s="2">
        <v>1</v>
      </c>
      <c r="C328" s="2" t="s">
        <v>568</v>
      </c>
      <c r="D328" s="2" t="s">
        <v>570</v>
      </c>
      <c r="E328" s="8" t="s">
        <v>7</v>
      </c>
      <c r="F328" s="2" t="s">
        <v>566</v>
      </c>
      <c r="G328" s="2" t="s">
        <v>267</v>
      </c>
      <c r="H328" s="23">
        <v>490</v>
      </c>
      <c r="I328" s="6">
        <v>750</v>
      </c>
      <c r="J328" s="1" t="s">
        <v>163</v>
      </c>
      <c r="K328" s="6">
        <v>683</v>
      </c>
      <c r="L328" s="1" t="s">
        <v>644</v>
      </c>
      <c r="M328" s="70" t="str">
        <f>VLOOKUP(Table3[[#This Row],[Shop Name]],seller!A:A,1,0)</f>
        <v>Kaaruk Fashion</v>
      </c>
    </row>
    <row r="329" spans="1:13" x14ac:dyDescent="0.2">
      <c r="A329" s="2">
        <v>328</v>
      </c>
      <c r="B329" s="2">
        <v>2</v>
      </c>
      <c r="C329" s="2" t="s">
        <v>55</v>
      </c>
      <c r="D329" s="2" t="s">
        <v>893</v>
      </c>
      <c r="E329" s="8" t="s">
        <v>7</v>
      </c>
      <c r="F329" s="2" t="s">
        <v>566</v>
      </c>
      <c r="G329" s="2" t="s">
        <v>54</v>
      </c>
      <c r="H329" s="23">
        <v>300</v>
      </c>
      <c r="I329" s="6">
        <v>550</v>
      </c>
      <c r="J329" s="1" t="s">
        <v>163</v>
      </c>
      <c r="K329" s="6">
        <v>483</v>
      </c>
      <c r="L329" s="1" t="s">
        <v>644</v>
      </c>
      <c r="M329" s="70" t="str">
        <f>VLOOKUP(Table3[[#This Row],[Shop Name]],seller!A:A,1,0)</f>
        <v>Kaaruk Fashion</v>
      </c>
    </row>
    <row r="330" spans="1:13" x14ac:dyDescent="0.2">
      <c r="A330" s="2">
        <v>329</v>
      </c>
      <c r="B330" s="2">
        <v>2</v>
      </c>
      <c r="C330" s="2" t="s">
        <v>55</v>
      </c>
      <c r="D330" s="2" t="s">
        <v>894</v>
      </c>
      <c r="E330" s="8" t="s">
        <v>7</v>
      </c>
      <c r="F330" s="2" t="s">
        <v>566</v>
      </c>
      <c r="G330" s="2" t="s">
        <v>54</v>
      </c>
      <c r="H330" s="23">
        <v>300</v>
      </c>
      <c r="I330" s="6">
        <v>550</v>
      </c>
      <c r="J330" s="1" t="s">
        <v>163</v>
      </c>
      <c r="K330" s="6">
        <v>500</v>
      </c>
      <c r="L330" s="1" t="s">
        <v>660</v>
      </c>
      <c r="M330" s="70" t="str">
        <f>VLOOKUP(Table3[[#This Row],[Shop Name]],seller!A:A,1,0)</f>
        <v>Kaaruk Fashion</v>
      </c>
    </row>
    <row r="331" spans="1:13" ht="32" x14ac:dyDescent="0.2">
      <c r="A331" s="2">
        <v>330</v>
      </c>
      <c r="B331" s="2">
        <v>3</v>
      </c>
      <c r="C331" s="2" t="s">
        <v>571</v>
      </c>
      <c r="D331" s="2" t="s">
        <v>572</v>
      </c>
      <c r="E331" s="8" t="s">
        <v>7</v>
      </c>
      <c r="F331" s="2" t="s">
        <v>566</v>
      </c>
      <c r="G331" s="2" t="s">
        <v>44</v>
      </c>
      <c r="H331" s="23">
        <v>500</v>
      </c>
      <c r="I331" s="6">
        <v>750</v>
      </c>
      <c r="J331" s="1" t="s">
        <v>127</v>
      </c>
      <c r="K331" s="6">
        <v>0</v>
      </c>
      <c r="M331" s="70" t="str">
        <f>VLOOKUP(Table3[[#This Row],[Shop Name]],seller!A:A,1,0)</f>
        <v>Kaaruk Fashion</v>
      </c>
    </row>
    <row r="332" spans="1:13" ht="32" x14ac:dyDescent="0.2">
      <c r="A332" s="2">
        <v>331</v>
      </c>
      <c r="B332" s="2" t="s">
        <v>804</v>
      </c>
      <c r="C332" s="2" t="s">
        <v>571</v>
      </c>
      <c r="D332" s="2" t="s">
        <v>573</v>
      </c>
      <c r="E332" s="8" t="s">
        <v>7</v>
      </c>
      <c r="F332" s="2" t="s">
        <v>566</v>
      </c>
      <c r="G332" s="2" t="s">
        <v>48</v>
      </c>
      <c r="H332" s="23">
        <v>530</v>
      </c>
      <c r="I332" s="6">
        <v>800</v>
      </c>
      <c r="J332" s="1" t="s">
        <v>163</v>
      </c>
      <c r="K332" s="6">
        <v>750</v>
      </c>
      <c r="L332" s="1" t="s">
        <v>808</v>
      </c>
      <c r="M332" s="70" t="str">
        <f>VLOOKUP(Table3[[#This Row],[Shop Name]],seller!A:A,1,0)</f>
        <v>Kaaruk Fashion</v>
      </c>
    </row>
    <row r="333" spans="1:13" x14ac:dyDescent="0.2">
      <c r="A333" s="2">
        <v>332</v>
      </c>
      <c r="B333" s="2">
        <v>5</v>
      </c>
      <c r="C333" s="2" t="s">
        <v>43</v>
      </c>
      <c r="D333" s="2" t="s">
        <v>574</v>
      </c>
      <c r="E333" s="8" t="s">
        <v>7</v>
      </c>
      <c r="F333" s="2" t="s">
        <v>566</v>
      </c>
      <c r="G333" s="2" t="s">
        <v>44</v>
      </c>
      <c r="H333" s="23">
        <v>560</v>
      </c>
      <c r="I333" s="6">
        <v>900</v>
      </c>
      <c r="J333" s="1" t="s">
        <v>127</v>
      </c>
      <c r="K333" s="6">
        <v>0</v>
      </c>
      <c r="M333" s="70" t="str">
        <f>VLOOKUP(Table3[[#This Row],[Shop Name]],seller!A:A,1,0)</f>
        <v>Kaaruk Fashion</v>
      </c>
    </row>
    <row r="334" spans="1:13" x14ac:dyDescent="0.2">
      <c r="A334" s="2">
        <v>333</v>
      </c>
      <c r="B334" s="2">
        <v>5</v>
      </c>
      <c r="C334" s="2" t="s">
        <v>43</v>
      </c>
      <c r="D334" s="2" t="s">
        <v>575</v>
      </c>
      <c r="E334" s="8" t="s">
        <v>7</v>
      </c>
      <c r="F334" s="2" t="s">
        <v>566</v>
      </c>
      <c r="G334" s="2" t="s">
        <v>54</v>
      </c>
      <c r="H334" s="23">
        <v>560</v>
      </c>
      <c r="I334" s="6">
        <v>900</v>
      </c>
      <c r="J334" s="1" t="s">
        <v>127</v>
      </c>
      <c r="K334" s="6">
        <v>0</v>
      </c>
      <c r="M334" s="70" t="str">
        <f>VLOOKUP(Table3[[#This Row],[Shop Name]],seller!A:A,1,0)</f>
        <v>Kaaruk Fashion</v>
      </c>
    </row>
    <row r="335" spans="1:13" x14ac:dyDescent="0.2">
      <c r="A335" s="2">
        <v>334</v>
      </c>
      <c r="B335" s="2">
        <v>1</v>
      </c>
      <c r="C335" s="2" t="s">
        <v>582</v>
      </c>
      <c r="D335" s="2" t="s">
        <v>583</v>
      </c>
      <c r="E335" s="2" t="s">
        <v>763</v>
      </c>
      <c r="F335" s="2" t="s">
        <v>579</v>
      </c>
      <c r="G335" s="2" t="s">
        <v>48</v>
      </c>
      <c r="H335" s="23">
        <v>1250</v>
      </c>
      <c r="I335" s="6">
        <v>1850</v>
      </c>
      <c r="J335" s="1" t="s">
        <v>127</v>
      </c>
      <c r="K335" s="6">
        <v>0</v>
      </c>
      <c r="M335" s="70" t="str">
        <f>VLOOKUP(Table3[[#This Row],[Shop Name]],seller!A:A,1,0)</f>
        <v>Bongo Nari</v>
      </c>
    </row>
    <row r="336" spans="1:13" x14ac:dyDescent="0.2">
      <c r="A336" s="2">
        <v>335</v>
      </c>
      <c r="B336" s="2">
        <v>1</v>
      </c>
      <c r="C336" s="2" t="s">
        <v>582</v>
      </c>
      <c r="D336" s="2" t="s">
        <v>583</v>
      </c>
      <c r="E336" s="2" t="s">
        <v>763</v>
      </c>
      <c r="F336" s="2" t="s">
        <v>579</v>
      </c>
      <c r="G336" s="2" t="s">
        <v>44</v>
      </c>
      <c r="H336" s="23">
        <v>1250</v>
      </c>
      <c r="I336" s="6">
        <v>1850</v>
      </c>
      <c r="J336" s="1" t="s">
        <v>163</v>
      </c>
      <c r="K336" s="6">
        <v>1800</v>
      </c>
      <c r="L336" s="1" t="s">
        <v>655</v>
      </c>
      <c r="M336" s="70" t="str">
        <f>VLOOKUP(Table3[[#This Row],[Shop Name]],seller!A:A,1,0)</f>
        <v>Bongo Nari</v>
      </c>
    </row>
    <row r="337" spans="1:13" x14ac:dyDescent="0.2">
      <c r="A337" s="2">
        <v>336</v>
      </c>
      <c r="B337" s="2">
        <v>2</v>
      </c>
      <c r="C337" s="2" t="s">
        <v>584</v>
      </c>
      <c r="D337" s="2" t="s">
        <v>585</v>
      </c>
      <c r="E337" s="2" t="s">
        <v>389</v>
      </c>
      <c r="F337" s="2" t="s">
        <v>579</v>
      </c>
      <c r="G337" s="2" t="s">
        <v>48</v>
      </c>
      <c r="H337" s="23">
        <v>1250</v>
      </c>
      <c r="I337" s="6">
        <v>1950</v>
      </c>
      <c r="J337" s="1" t="s">
        <v>127</v>
      </c>
      <c r="K337" s="6">
        <v>0</v>
      </c>
      <c r="M337" s="70" t="str">
        <f>VLOOKUP(Table3[[#This Row],[Shop Name]],seller!A:A,1,0)</f>
        <v>Bongo Nari</v>
      </c>
    </row>
    <row r="338" spans="1:13" x14ac:dyDescent="0.2">
      <c r="A338" s="2">
        <v>337</v>
      </c>
      <c r="B338" s="2">
        <v>2</v>
      </c>
      <c r="C338" s="2" t="s">
        <v>584</v>
      </c>
      <c r="D338" s="2" t="s">
        <v>585</v>
      </c>
      <c r="E338" s="2" t="s">
        <v>389</v>
      </c>
      <c r="F338" s="2" t="s">
        <v>579</v>
      </c>
      <c r="G338" s="2" t="s">
        <v>44</v>
      </c>
      <c r="H338" s="23">
        <v>1250</v>
      </c>
      <c r="I338" s="6">
        <v>1950</v>
      </c>
      <c r="J338" s="1" t="s">
        <v>127</v>
      </c>
      <c r="K338" s="6">
        <v>0</v>
      </c>
      <c r="M338" s="70" t="str">
        <f>VLOOKUP(Table3[[#This Row],[Shop Name]],seller!A:A,1,0)</f>
        <v>Bongo Nari</v>
      </c>
    </row>
    <row r="339" spans="1:13" x14ac:dyDescent="0.2">
      <c r="A339" s="2">
        <v>338</v>
      </c>
      <c r="B339" s="8">
        <v>1</v>
      </c>
      <c r="C339" s="8" t="s">
        <v>43</v>
      </c>
      <c r="D339" s="8" t="s">
        <v>586</v>
      </c>
      <c r="E339" s="8" t="s">
        <v>7</v>
      </c>
      <c r="F339" s="8" t="s">
        <v>6</v>
      </c>
      <c r="G339" s="8" t="s">
        <v>48</v>
      </c>
      <c r="H339" s="42">
        <v>714</v>
      </c>
      <c r="I339" s="9">
        <v>1100</v>
      </c>
      <c r="J339" s="39" t="s">
        <v>163</v>
      </c>
      <c r="K339" s="6">
        <v>714</v>
      </c>
      <c r="L339" s="1" t="s">
        <v>609</v>
      </c>
      <c r="M339" s="70" t="str">
        <f>VLOOKUP(Table3[[#This Row],[Shop Name]],seller!A:A,1,0)</f>
        <v>N G Garments</v>
      </c>
    </row>
    <row r="340" spans="1:13" x14ac:dyDescent="0.2">
      <c r="A340" s="2">
        <v>339</v>
      </c>
      <c r="B340" s="8">
        <v>1</v>
      </c>
      <c r="C340" s="8" t="s">
        <v>43</v>
      </c>
      <c r="D340" s="8" t="s">
        <v>586</v>
      </c>
      <c r="E340" s="8" t="s">
        <v>7</v>
      </c>
      <c r="F340" s="8" t="s">
        <v>6</v>
      </c>
      <c r="G340" s="8" t="s">
        <v>44</v>
      </c>
      <c r="H340" s="42">
        <v>714</v>
      </c>
      <c r="I340" s="9">
        <v>1100</v>
      </c>
      <c r="J340" s="39" t="s">
        <v>163</v>
      </c>
      <c r="K340" s="9">
        <v>1034</v>
      </c>
      <c r="L340" s="39" t="s">
        <v>644</v>
      </c>
      <c r="M340" s="70" t="str">
        <f>VLOOKUP(Table3[[#This Row],[Shop Name]],seller!A:A,1,0)</f>
        <v>N G Garments</v>
      </c>
    </row>
    <row r="341" spans="1:13" x14ac:dyDescent="0.2">
      <c r="A341" s="2">
        <v>340</v>
      </c>
      <c r="B341" s="8" t="s">
        <v>804</v>
      </c>
      <c r="C341" s="8" t="s">
        <v>43</v>
      </c>
      <c r="D341" s="8" t="s">
        <v>587</v>
      </c>
      <c r="E341" s="8" t="s">
        <v>7</v>
      </c>
      <c r="F341" s="8" t="s">
        <v>6</v>
      </c>
      <c r="G341" s="8" t="s">
        <v>54</v>
      </c>
      <c r="H341" s="42">
        <v>714</v>
      </c>
      <c r="I341" s="9">
        <v>1100</v>
      </c>
      <c r="J341" s="39" t="s">
        <v>163</v>
      </c>
      <c r="K341" s="9">
        <v>1050</v>
      </c>
      <c r="L341" s="1" t="s">
        <v>805</v>
      </c>
      <c r="M341" s="70" t="str">
        <f>VLOOKUP(Table3[[#This Row],[Shop Name]],seller!A:A,1,0)</f>
        <v>N G Garments</v>
      </c>
    </row>
    <row r="342" spans="1:13" x14ac:dyDescent="0.2">
      <c r="A342" s="2">
        <v>341</v>
      </c>
      <c r="B342" s="8">
        <v>1</v>
      </c>
      <c r="C342" s="8" t="s">
        <v>43</v>
      </c>
      <c r="D342" s="8" t="s">
        <v>587</v>
      </c>
      <c r="E342" s="8" t="s">
        <v>7</v>
      </c>
      <c r="F342" s="8" t="s">
        <v>6</v>
      </c>
      <c r="G342" s="8" t="s">
        <v>49</v>
      </c>
      <c r="H342" s="42">
        <v>714</v>
      </c>
      <c r="I342" s="9">
        <v>1100</v>
      </c>
      <c r="J342" s="39" t="s">
        <v>163</v>
      </c>
      <c r="K342" s="9">
        <v>714</v>
      </c>
      <c r="L342" s="1" t="s">
        <v>333</v>
      </c>
      <c r="M342" s="70" t="str">
        <f>VLOOKUP(Table3[[#This Row],[Shop Name]],seller!A:A,1,0)</f>
        <v>N G Garments</v>
      </c>
    </row>
    <row r="343" spans="1:13" x14ac:dyDescent="0.2">
      <c r="A343" s="2">
        <v>342</v>
      </c>
      <c r="B343" s="2">
        <v>2</v>
      </c>
      <c r="C343" s="2" t="s">
        <v>55</v>
      </c>
      <c r="D343" s="2" t="s">
        <v>764</v>
      </c>
      <c r="E343" s="2" t="s">
        <v>7</v>
      </c>
      <c r="F343" s="2" t="s">
        <v>6</v>
      </c>
      <c r="G343" s="2" t="s">
        <v>54</v>
      </c>
      <c r="H343" s="23">
        <v>249</v>
      </c>
      <c r="I343" s="6">
        <v>499</v>
      </c>
      <c r="J343" s="1" t="s">
        <v>127</v>
      </c>
      <c r="K343" s="6">
        <v>0</v>
      </c>
      <c r="M343" s="70" t="str">
        <f>VLOOKUP(Table3[[#This Row],[Shop Name]],seller!A:A,1,0)</f>
        <v>N G Garments</v>
      </c>
    </row>
    <row r="344" spans="1:13" x14ac:dyDescent="0.2">
      <c r="A344" s="2">
        <v>343</v>
      </c>
      <c r="B344" s="2" t="s">
        <v>719</v>
      </c>
      <c r="C344" s="2" t="s">
        <v>55</v>
      </c>
      <c r="D344" s="2" t="s">
        <v>765</v>
      </c>
      <c r="E344" s="2" t="s">
        <v>7</v>
      </c>
      <c r="F344" s="2" t="s">
        <v>6</v>
      </c>
      <c r="G344" s="2" t="s">
        <v>54</v>
      </c>
      <c r="H344" s="23">
        <v>249</v>
      </c>
      <c r="I344" s="6">
        <v>499</v>
      </c>
      <c r="J344" s="1" t="s">
        <v>163</v>
      </c>
      <c r="K344" s="6">
        <v>440</v>
      </c>
      <c r="L344" s="1" t="s">
        <v>729</v>
      </c>
      <c r="M344" s="70" t="str">
        <f>VLOOKUP(Table3[[#This Row],[Shop Name]],seller!A:A,1,0)</f>
        <v>N G Garments</v>
      </c>
    </row>
    <row r="345" spans="1:13" x14ac:dyDescent="0.2">
      <c r="A345" s="2">
        <v>344</v>
      </c>
      <c r="B345" s="2">
        <v>2</v>
      </c>
      <c r="C345" s="2" t="s">
        <v>55</v>
      </c>
      <c r="D345" s="2" t="s">
        <v>766</v>
      </c>
      <c r="E345" s="2" t="s">
        <v>7</v>
      </c>
      <c r="F345" s="2" t="s">
        <v>6</v>
      </c>
      <c r="G345" s="2" t="s">
        <v>54</v>
      </c>
      <c r="H345" s="23">
        <v>249</v>
      </c>
      <c r="I345" s="6">
        <v>499</v>
      </c>
      <c r="J345" s="1" t="s">
        <v>163</v>
      </c>
      <c r="K345" s="6">
        <v>450</v>
      </c>
      <c r="L345" s="1" t="s">
        <v>444</v>
      </c>
      <c r="M345" s="70" t="str">
        <f>VLOOKUP(Table3[[#This Row],[Shop Name]],seller!A:A,1,0)</f>
        <v>N G Garments</v>
      </c>
    </row>
    <row r="346" spans="1:13" x14ac:dyDescent="0.2">
      <c r="A346" s="2">
        <v>345</v>
      </c>
      <c r="B346" s="2">
        <v>2</v>
      </c>
      <c r="C346" s="2" t="s">
        <v>55</v>
      </c>
      <c r="D346" s="2" t="s">
        <v>767</v>
      </c>
      <c r="E346" s="2" t="s">
        <v>7</v>
      </c>
      <c r="F346" s="2" t="s">
        <v>6</v>
      </c>
      <c r="G346" s="2" t="s">
        <v>54</v>
      </c>
      <c r="H346" s="23">
        <v>249</v>
      </c>
      <c r="I346" s="6">
        <v>499</v>
      </c>
      <c r="J346" s="1" t="s">
        <v>163</v>
      </c>
      <c r="K346" s="6">
        <v>499</v>
      </c>
      <c r="L346" s="1" t="s">
        <v>651</v>
      </c>
      <c r="M346" s="70" t="str">
        <f>VLOOKUP(Table3[[#This Row],[Shop Name]],seller!A:A,1,0)</f>
        <v>N G Garments</v>
      </c>
    </row>
    <row r="347" spans="1:13" ht="32" x14ac:dyDescent="0.2">
      <c r="A347" s="2">
        <v>346</v>
      </c>
      <c r="B347" s="2">
        <v>3</v>
      </c>
      <c r="C347" s="2" t="s">
        <v>43</v>
      </c>
      <c r="D347" s="2" t="s">
        <v>588</v>
      </c>
      <c r="E347" s="8" t="s">
        <v>7</v>
      </c>
      <c r="F347" s="2" t="s">
        <v>6</v>
      </c>
      <c r="G347" s="2" t="s">
        <v>48</v>
      </c>
      <c r="H347" s="23">
        <v>878</v>
      </c>
      <c r="I347" s="6">
        <v>1199</v>
      </c>
      <c r="J347" s="1" t="s">
        <v>127</v>
      </c>
      <c r="K347" s="6">
        <v>0</v>
      </c>
      <c r="M347" s="70" t="str">
        <f>VLOOKUP(Table3[[#This Row],[Shop Name]],seller!A:A,1,0)</f>
        <v>N G Garments</v>
      </c>
    </row>
    <row r="348" spans="1:13" ht="32" x14ac:dyDescent="0.2">
      <c r="A348" s="2">
        <v>347</v>
      </c>
      <c r="B348" s="2" t="s">
        <v>687</v>
      </c>
      <c r="C348" s="2" t="s">
        <v>43</v>
      </c>
      <c r="D348" s="2" t="s">
        <v>588</v>
      </c>
      <c r="E348" s="8" t="s">
        <v>7</v>
      </c>
      <c r="F348" s="2" t="s">
        <v>6</v>
      </c>
      <c r="G348" s="2" t="s">
        <v>49</v>
      </c>
      <c r="H348" s="23">
        <v>878</v>
      </c>
      <c r="I348" s="6">
        <v>1199</v>
      </c>
      <c r="J348" s="1" t="s">
        <v>163</v>
      </c>
      <c r="K348" s="6">
        <v>1150</v>
      </c>
      <c r="L348" s="1" t="s">
        <v>690</v>
      </c>
      <c r="M348" s="70" t="str">
        <f>VLOOKUP(Table3[[#This Row],[Shop Name]],seller!A:A,1,0)</f>
        <v>N G Garments</v>
      </c>
    </row>
    <row r="349" spans="1:13" ht="32" x14ac:dyDescent="0.2">
      <c r="A349" s="2">
        <v>348</v>
      </c>
      <c r="B349" s="2">
        <v>4</v>
      </c>
      <c r="C349" s="2" t="s">
        <v>43</v>
      </c>
      <c r="D349" s="2" t="s">
        <v>646</v>
      </c>
      <c r="E349" s="8" t="s">
        <v>7</v>
      </c>
      <c r="F349" s="2" t="s">
        <v>6</v>
      </c>
      <c r="G349" s="2" t="s">
        <v>44</v>
      </c>
      <c r="H349" s="23">
        <v>828</v>
      </c>
      <c r="I349" s="6">
        <v>1199</v>
      </c>
      <c r="J349" s="1" t="s">
        <v>163</v>
      </c>
      <c r="K349" s="6">
        <v>1150</v>
      </c>
      <c r="L349" s="1" t="s">
        <v>647</v>
      </c>
      <c r="M349" s="70" t="str">
        <f>VLOOKUP(Table3[[#This Row],[Shop Name]],seller!A:A,1,0)</f>
        <v>N G Garments</v>
      </c>
    </row>
    <row r="350" spans="1:13" ht="32" x14ac:dyDescent="0.2">
      <c r="A350" s="2">
        <v>349</v>
      </c>
      <c r="B350" s="2">
        <v>4</v>
      </c>
      <c r="C350" s="2" t="s">
        <v>43</v>
      </c>
      <c r="D350" s="2" t="s">
        <v>646</v>
      </c>
      <c r="E350" s="8" t="s">
        <v>7</v>
      </c>
      <c r="F350" s="2" t="s">
        <v>6</v>
      </c>
      <c r="G350" s="2" t="s">
        <v>54</v>
      </c>
      <c r="H350" s="23">
        <v>828</v>
      </c>
      <c r="I350" s="6">
        <v>1199</v>
      </c>
      <c r="J350" s="1" t="s">
        <v>163</v>
      </c>
      <c r="K350" s="6">
        <v>828</v>
      </c>
      <c r="L350" s="1" t="s">
        <v>609</v>
      </c>
      <c r="M350" s="70" t="str">
        <f>VLOOKUP(Table3[[#This Row],[Shop Name]],seller!A:A,1,0)</f>
        <v>N G Garments</v>
      </c>
    </row>
    <row r="351" spans="1:13" x14ac:dyDescent="0.2">
      <c r="A351" s="2">
        <v>350</v>
      </c>
      <c r="B351" s="2">
        <v>5</v>
      </c>
      <c r="C351" s="2" t="s">
        <v>589</v>
      </c>
      <c r="D351" s="2" t="s">
        <v>592</v>
      </c>
      <c r="E351" s="2" t="s">
        <v>7</v>
      </c>
      <c r="F351" s="2" t="s">
        <v>6</v>
      </c>
      <c r="G351" s="2" t="s">
        <v>48</v>
      </c>
      <c r="H351" s="23">
        <v>415</v>
      </c>
      <c r="I351" s="6">
        <v>680</v>
      </c>
      <c r="J351" s="1" t="s">
        <v>127</v>
      </c>
      <c r="K351" s="6">
        <v>0</v>
      </c>
      <c r="M351" s="70" t="str">
        <f>VLOOKUP(Table3[[#This Row],[Shop Name]],seller!A:A,1,0)</f>
        <v>N G Garments</v>
      </c>
    </row>
    <row r="352" spans="1:13" x14ac:dyDescent="0.2">
      <c r="A352" s="2">
        <v>351</v>
      </c>
      <c r="B352" s="2">
        <v>5</v>
      </c>
      <c r="C352" s="2" t="s">
        <v>589</v>
      </c>
      <c r="D352" s="2" t="s">
        <v>593</v>
      </c>
      <c r="E352" s="2" t="s">
        <v>7</v>
      </c>
      <c r="F352" s="2" t="s">
        <v>6</v>
      </c>
      <c r="G352" s="2" t="s">
        <v>44</v>
      </c>
      <c r="H352" s="23">
        <v>415</v>
      </c>
      <c r="I352" s="6">
        <v>680</v>
      </c>
      <c r="J352" s="1" t="s">
        <v>127</v>
      </c>
      <c r="K352" s="6">
        <v>0</v>
      </c>
      <c r="M352" s="70" t="str">
        <f>VLOOKUP(Table3[[#This Row],[Shop Name]],seller!A:A,1,0)</f>
        <v>N G Garments</v>
      </c>
    </row>
    <row r="353" spans="1:13" x14ac:dyDescent="0.2">
      <c r="A353" s="2">
        <v>352</v>
      </c>
      <c r="B353" s="2">
        <v>5</v>
      </c>
      <c r="C353" s="2" t="s">
        <v>589</v>
      </c>
      <c r="D353" s="2" t="s">
        <v>594</v>
      </c>
      <c r="E353" s="2" t="s">
        <v>7</v>
      </c>
      <c r="F353" s="2" t="s">
        <v>6</v>
      </c>
      <c r="G353" s="2" t="s">
        <v>44</v>
      </c>
      <c r="H353" s="23">
        <v>415</v>
      </c>
      <c r="I353" s="6">
        <v>680</v>
      </c>
      <c r="J353" s="1" t="s">
        <v>127</v>
      </c>
      <c r="K353" s="6">
        <v>0</v>
      </c>
      <c r="M353" s="70" t="str">
        <f>VLOOKUP(Table3[[#This Row],[Shop Name]],seller!A:A,1,0)</f>
        <v>N G Garments</v>
      </c>
    </row>
    <row r="354" spans="1:13" x14ac:dyDescent="0.2">
      <c r="A354" s="2">
        <v>353</v>
      </c>
      <c r="B354" s="2" t="s">
        <v>872</v>
      </c>
      <c r="C354" s="2" t="s">
        <v>419</v>
      </c>
      <c r="D354" s="2" t="s">
        <v>595</v>
      </c>
      <c r="E354" s="2" t="s">
        <v>7</v>
      </c>
      <c r="F354" s="2" t="s">
        <v>6</v>
      </c>
      <c r="G354" s="2" t="s">
        <v>56</v>
      </c>
      <c r="H354" s="23">
        <v>515</v>
      </c>
      <c r="I354" s="6">
        <v>880</v>
      </c>
      <c r="J354" s="1" t="s">
        <v>163</v>
      </c>
      <c r="K354" s="6">
        <v>800</v>
      </c>
      <c r="L354" s="1" t="s">
        <v>884</v>
      </c>
      <c r="M354" s="70" t="str">
        <f>VLOOKUP(Table3[[#This Row],[Shop Name]],seller!A:A,1,0)</f>
        <v>N G Garments</v>
      </c>
    </row>
    <row r="355" spans="1:13" x14ac:dyDescent="0.2">
      <c r="A355" s="2">
        <v>354</v>
      </c>
      <c r="B355" s="2">
        <v>7</v>
      </c>
      <c r="C355" s="2" t="s">
        <v>280</v>
      </c>
      <c r="D355" s="2" t="s">
        <v>596</v>
      </c>
      <c r="E355" s="2" t="s">
        <v>7</v>
      </c>
      <c r="F355" s="2" t="s">
        <v>6</v>
      </c>
      <c r="G355" s="2" t="s">
        <v>44</v>
      </c>
      <c r="H355" s="23">
        <v>615</v>
      </c>
      <c r="I355" s="6">
        <v>999</v>
      </c>
      <c r="J355" s="1" t="s">
        <v>127</v>
      </c>
      <c r="K355" s="6">
        <v>0</v>
      </c>
      <c r="M355" s="70" t="str">
        <f>VLOOKUP(Table3[[#This Row],[Shop Name]],seller!A:A,1,0)</f>
        <v>N G Garments</v>
      </c>
    </row>
    <row r="356" spans="1:13" x14ac:dyDescent="0.2">
      <c r="A356" s="2">
        <v>355</v>
      </c>
      <c r="B356" s="2">
        <v>7</v>
      </c>
      <c r="C356" s="2" t="s">
        <v>280</v>
      </c>
      <c r="D356" s="2" t="s">
        <v>596</v>
      </c>
      <c r="E356" s="2" t="s">
        <v>7</v>
      </c>
      <c r="F356" s="2" t="s">
        <v>6</v>
      </c>
      <c r="G356" s="2" t="s">
        <v>48</v>
      </c>
      <c r="H356" s="23">
        <v>615</v>
      </c>
      <c r="I356" s="6">
        <v>999</v>
      </c>
      <c r="J356" s="1" t="s">
        <v>127</v>
      </c>
      <c r="K356" s="6">
        <v>0</v>
      </c>
      <c r="M356" s="70" t="str">
        <f>VLOOKUP(Table3[[#This Row],[Shop Name]],seller!A:A,1,0)</f>
        <v>N G Garments</v>
      </c>
    </row>
    <row r="357" spans="1:13" x14ac:dyDescent="0.2">
      <c r="A357" s="2">
        <v>356</v>
      </c>
      <c r="B357" s="2">
        <v>8</v>
      </c>
      <c r="C357" s="2" t="s">
        <v>280</v>
      </c>
      <c r="D357" s="2" t="s">
        <v>597</v>
      </c>
      <c r="E357" s="2" t="s">
        <v>7</v>
      </c>
      <c r="F357" s="2" t="s">
        <v>6</v>
      </c>
      <c r="G357" s="2" t="s">
        <v>49</v>
      </c>
      <c r="H357" s="23">
        <v>754</v>
      </c>
      <c r="I357" s="6">
        <v>1050</v>
      </c>
      <c r="J357" s="1" t="s">
        <v>163</v>
      </c>
      <c r="K357" s="6">
        <v>1000</v>
      </c>
      <c r="L357" s="1" t="s">
        <v>652</v>
      </c>
      <c r="M357" s="70" t="str">
        <f>VLOOKUP(Table3[[#This Row],[Shop Name]],seller!A:A,1,0)</f>
        <v>N G Garments</v>
      </c>
    </row>
    <row r="358" spans="1:13" ht="32" x14ac:dyDescent="0.2">
      <c r="A358" s="2">
        <v>357</v>
      </c>
      <c r="B358" s="2">
        <v>9</v>
      </c>
      <c r="C358" s="2" t="s">
        <v>598</v>
      </c>
      <c r="D358" s="2" t="s">
        <v>599</v>
      </c>
      <c r="E358" s="2" t="s">
        <v>7</v>
      </c>
      <c r="F358" s="2" t="s">
        <v>6</v>
      </c>
      <c r="G358" s="2" t="s">
        <v>48</v>
      </c>
      <c r="H358" s="23">
        <v>654</v>
      </c>
      <c r="I358" s="6">
        <v>999</v>
      </c>
      <c r="J358" s="1" t="s">
        <v>127</v>
      </c>
      <c r="K358" s="6">
        <v>0</v>
      </c>
      <c r="M358" s="70" t="str">
        <f>VLOOKUP(Table3[[#This Row],[Shop Name]],seller!A:A,1,0)</f>
        <v>N G Garments</v>
      </c>
    </row>
    <row r="359" spans="1:13" ht="32" x14ac:dyDescent="0.2">
      <c r="A359" s="2">
        <v>358</v>
      </c>
      <c r="B359" s="2">
        <v>9</v>
      </c>
      <c r="C359" s="2" t="s">
        <v>598</v>
      </c>
      <c r="D359" s="2" t="s">
        <v>599</v>
      </c>
      <c r="E359" s="2" t="s">
        <v>7</v>
      </c>
      <c r="F359" s="2" t="s">
        <v>6</v>
      </c>
      <c r="G359" s="2" t="s">
        <v>49</v>
      </c>
      <c r="H359" s="23">
        <v>654</v>
      </c>
      <c r="I359" s="6">
        <v>999</v>
      </c>
      <c r="J359" s="1" t="s">
        <v>163</v>
      </c>
      <c r="K359" s="6">
        <v>654</v>
      </c>
      <c r="L359" s="1" t="s">
        <v>609</v>
      </c>
      <c r="M359" s="70" t="str">
        <f>VLOOKUP(Table3[[#This Row],[Shop Name]],seller!A:A,1,0)</f>
        <v>N G Garments</v>
      </c>
    </row>
    <row r="360" spans="1:13" ht="32" x14ac:dyDescent="0.2">
      <c r="A360" s="2">
        <v>359</v>
      </c>
      <c r="B360" s="2">
        <v>10</v>
      </c>
      <c r="C360" s="2" t="s">
        <v>598</v>
      </c>
      <c r="D360" s="2" t="s">
        <v>600</v>
      </c>
      <c r="E360" s="2" t="s">
        <v>7</v>
      </c>
      <c r="F360" s="2" t="s">
        <v>6</v>
      </c>
      <c r="G360" s="2" t="s">
        <v>44</v>
      </c>
      <c r="H360" s="23">
        <v>704</v>
      </c>
      <c r="I360" s="6">
        <v>1050</v>
      </c>
      <c r="J360" s="1" t="s">
        <v>163</v>
      </c>
      <c r="K360" s="6">
        <v>1050</v>
      </c>
      <c r="L360" s="1" t="s">
        <v>657</v>
      </c>
      <c r="M360" s="70" t="str">
        <f>VLOOKUP(Table3[[#This Row],[Shop Name]],seller!A:A,1,0)</f>
        <v>N G Garments</v>
      </c>
    </row>
    <row r="361" spans="1:13" x14ac:dyDescent="0.2">
      <c r="A361" s="2">
        <v>360</v>
      </c>
      <c r="B361" s="2" t="s">
        <v>872</v>
      </c>
      <c r="C361" s="2" t="s">
        <v>601</v>
      </c>
      <c r="D361" s="2" t="s">
        <v>602</v>
      </c>
      <c r="E361" s="2" t="s">
        <v>603</v>
      </c>
      <c r="F361" s="2" t="s">
        <v>6</v>
      </c>
      <c r="G361" s="2" t="s">
        <v>54</v>
      </c>
      <c r="H361" s="23">
        <v>1128</v>
      </c>
      <c r="I361" s="6">
        <v>1450</v>
      </c>
      <c r="J361" s="1" t="s">
        <v>163</v>
      </c>
      <c r="K361" s="6">
        <v>1400</v>
      </c>
      <c r="L361" s="1" t="s">
        <v>878</v>
      </c>
      <c r="M361" s="70" t="str">
        <f>VLOOKUP(Table3[[#This Row],[Shop Name]],seller!A:A,1,0)</f>
        <v>N G Garments</v>
      </c>
    </row>
    <row r="362" spans="1:13" x14ac:dyDescent="0.2">
      <c r="A362" s="2">
        <v>361</v>
      </c>
      <c r="B362" s="2">
        <v>11</v>
      </c>
      <c r="C362" s="2" t="s">
        <v>601</v>
      </c>
      <c r="D362" s="2" t="s">
        <v>604</v>
      </c>
      <c r="E362" s="2" t="s">
        <v>603</v>
      </c>
      <c r="F362" s="2" t="s">
        <v>6</v>
      </c>
      <c r="G362" s="2" t="s">
        <v>48</v>
      </c>
      <c r="H362" s="23">
        <v>1128</v>
      </c>
      <c r="I362" s="6">
        <v>1450</v>
      </c>
      <c r="J362" s="1" t="s">
        <v>163</v>
      </c>
      <c r="K362" s="6">
        <v>1415</v>
      </c>
      <c r="L362" s="1" t="s">
        <v>658</v>
      </c>
      <c r="M362" s="70" t="str">
        <f>VLOOKUP(Table3[[#This Row],[Shop Name]],seller!A:A,1,0)</f>
        <v>N G Garments</v>
      </c>
    </row>
    <row r="363" spans="1:13" ht="32" x14ac:dyDescent="0.2">
      <c r="A363" s="2">
        <v>362</v>
      </c>
      <c r="B363" s="2">
        <v>12</v>
      </c>
      <c r="C363" s="2" t="s">
        <v>43</v>
      </c>
      <c r="D363" s="2" t="s">
        <v>800</v>
      </c>
      <c r="E363" s="2" t="s">
        <v>7</v>
      </c>
      <c r="F363" s="2" t="s">
        <v>6</v>
      </c>
      <c r="G363" s="2" t="s">
        <v>49</v>
      </c>
      <c r="H363" s="23">
        <v>428</v>
      </c>
      <c r="I363" s="6">
        <v>799</v>
      </c>
      <c r="J363" s="1" t="s">
        <v>127</v>
      </c>
      <c r="K363" s="6">
        <v>0</v>
      </c>
      <c r="M363" s="70" t="str">
        <f>VLOOKUP(Table3[[#This Row],[Shop Name]],seller!A:A,1,0)</f>
        <v>N G Garments</v>
      </c>
    </row>
    <row r="364" spans="1:13" ht="32" x14ac:dyDescent="0.2">
      <c r="A364" s="2">
        <v>363</v>
      </c>
      <c r="B364" s="8">
        <v>12</v>
      </c>
      <c r="C364" s="8" t="s">
        <v>43</v>
      </c>
      <c r="D364" s="2" t="s">
        <v>801</v>
      </c>
      <c r="E364" s="8" t="s">
        <v>7</v>
      </c>
      <c r="F364" s="8" t="s">
        <v>6</v>
      </c>
      <c r="G364" s="8" t="s">
        <v>54</v>
      </c>
      <c r="H364" s="42">
        <v>428</v>
      </c>
      <c r="I364" s="9">
        <v>799</v>
      </c>
      <c r="J364" s="39" t="s">
        <v>127</v>
      </c>
      <c r="K364" s="9">
        <v>0</v>
      </c>
      <c r="L364" s="39"/>
      <c r="M364" s="70" t="str">
        <f>VLOOKUP(Table3[[#This Row],[Shop Name]],seller!A:A,1,0)</f>
        <v>N G Garments</v>
      </c>
    </row>
    <row r="365" spans="1:13" ht="34" x14ac:dyDescent="0.2">
      <c r="A365" s="2">
        <v>364</v>
      </c>
      <c r="B365" s="8">
        <v>12</v>
      </c>
      <c r="C365" s="8" t="s">
        <v>43</v>
      </c>
      <c r="D365" s="49" t="s">
        <v>1010</v>
      </c>
      <c r="E365" s="8" t="s">
        <v>7</v>
      </c>
      <c r="F365" s="8" t="s">
        <v>6</v>
      </c>
      <c r="G365" s="8" t="s">
        <v>44</v>
      </c>
      <c r="H365" s="42">
        <v>428</v>
      </c>
      <c r="I365" s="9">
        <v>799</v>
      </c>
      <c r="J365" s="39" t="s">
        <v>127</v>
      </c>
      <c r="K365" s="9">
        <v>0</v>
      </c>
      <c r="L365" s="39"/>
      <c r="M365" s="70" t="str">
        <f>VLOOKUP(Table3[[#This Row],[Shop Name]],seller!A:A,1,0)</f>
        <v>N G Garments</v>
      </c>
    </row>
    <row r="366" spans="1:13" ht="34" x14ac:dyDescent="0.2">
      <c r="A366" s="2">
        <v>365</v>
      </c>
      <c r="B366" s="8">
        <v>12</v>
      </c>
      <c r="C366" s="8" t="s">
        <v>43</v>
      </c>
      <c r="D366" s="49" t="s">
        <v>1010</v>
      </c>
      <c r="E366" s="8" t="s">
        <v>7</v>
      </c>
      <c r="F366" s="8" t="s">
        <v>6</v>
      </c>
      <c r="G366" s="8" t="s">
        <v>48</v>
      </c>
      <c r="H366" s="42">
        <v>428</v>
      </c>
      <c r="I366" s="9">
        <v>799</v>
      </c>
      <c r="J366" s="39" t="s">
        <v>127</v>
      </c>
      <c r="K366" s="9">
        <v>0</v>
      </c>
      <c r="L366" s="39"/>
      <c r="M366" s="70" t="str">
        <f>VLOOKUP(Table3[[#This Row],[Shop Name]],seller!A:A,1,0)</f>
        <v>N G Garments</v>
      </c>
    </row>
    <row r="367" spans="1:13" x14ac:dyDescent="0.2">
      <c r="A367" s="2">
        <v>366</v>
      </c>
      <c r="B367" s="8">
        <v>13</v>
      </c>
      <c r="C367" s="8" t="s">
        <v>43</v>
      </c>
      <c r="D367" s="8" t="s">
        <v>1009</v>
      </c>
      <c r="E367" s="8" t="s">
        <v>7</v>
      </c>
      <c r="F367" s="8" t="s">
        <v>6</v>
      </c>
      <c r="G367" s="8" t="s">
        <v>44</v>
      </c>
      <c r="H367" s="42">
        <v>964</v>
      </c>
      <c r="I367" s="9">
        <v>1299</v>
      </c>
      <c r="J367" s="39" t="s">
        <v>127</v>
      </c>
      <c r="K367" s="9">
        <v>0</v>
      </c>
      <c r="L367" s="39"/>
      <c r="M367" s="70" t="str">
        <f>VLOOKUP(Table3[[#This Row],[Shop Name]],seller!A:A,1,0)</f>
        <v>N G Garments</v>
      </c>
    </row>
    <row r="368" spans="1:13" ht="32" x14ac:dyDescent="0.2">
      <c r="A368" s="22">
        <v>367</v>
      </c>
      <c r="B368" s="2" t="s">
        <v>885</v>
      </c>
      <c r="C368" s="8" t="s">
        <v>46</v>
      </c>
      <c r="D368" s="2" t="s">
        <v>607</v>
      </c>
      <c r="E368" s="2" t="s">
        <v>7</v>
      </c>
      <c r="F368" s="2" t="s">
        <v>6</v>
      </c>
      <c r="G368" s="2" t="s">
        <v>48</v>
      </c>
      <c r="H368" s="23">
        <v>454</v>
      </c>
      <c r="I368" s="6">
        <v>790</v>
      </c>
      <c r="J368" s="1" t="s">
        <v>163</v>
      </c>
      <c r="K368" s="6">
        <v>765</v>
      </c>
      <c r="L368" s="24" t="s">
        <v>376</v>
      </c>
      <c r="M368" s="70" t="str">
        <f>VLOOKUP(Table3[[#This Row],[Shop Name]],seller!A:A,1,0)</f>
        <v>N G Garments</v>
      </c>
    </row>
    <row r="369" spans="1:13" x14ac:dyDescent="0.2">
      <c r="A369" s="2">
        <v>368</v>
      </c>
      <c r="B369" s="2">
        <v>15</v>
      </c>
      <c r="C369" s="2" t="s">
        <v>55</v>
      </c>
      <c r="D369" s="2" t="s">
        <v>606</v>
      </c>
      <c r="E369" s="2" t="s">
        <v>605</v>
      </c>
      <c r="F369" s="2" t="s">
        <v>6</v>
      </c>
      <c r="G369" s="2" t="s">
        <v>54</v>
      </c>
      <c r="H369" s="23">
        <v>579</v>
      </c>
      <c r="I369" s="6">
        <v>830</v>
      </c>
      <c r="J369" s="1" t="s">
        <v>127</v>
      </c>
      <c r="K369" s="6">
        <v>0</v>
      </c>
      <c r="M369" s="70" t="str">
        <f>VLOOKUP(Table3[[#This Row],[Shop Name]],seller!A:A,1,0)</f>
        <v>N G Garments</v>
      </c>
    </row>
    <row r="370" spans="1:13" x14ac:dyDescent="0.2">
      <c r="A370" s="2">
        <v>369</v>
      </c>
      <c r="B370" s="2" t="s">
        <v>872</v>
      </c>
      <c r="C370" s="2" t="s">
        <v>55</v>
      </c>
      <c r="D370" s="2" t="s">
        <v>608</v>
      </c>
      <c r="E370" s="2" t="s">
        <v>605</v>
      </c>
      <c r="F370" s="2" t="s">
        <v>6</v>
      </c>
      <c r="G370" s="2" t="s">
        <v>48</v>
      </c>
      <c r="H370" s="23">
        <v>628</v>
      </c>
      <c r="I370" s="6">
        <v>880</v>
      </c>
      <c r="J370" s="1" t="s">
        <v>163</v>
      </c>
      <c r="K370" s="6">
        <v>880</v>
      </c>
      <c r="L370" s="1" t="s">
        <v>877</v>
      </c>
      <c r="M370" s="70" t="str">
        <f>VLOOKUP(Table3[[#This Row],[Shop Name]],seller!A:A,1,0)</f>
        <v>N G Garments</v>
      </c>
    </row>
    <row r="371" spans="1:13" x14ac:dyDescent="0.2">
      <c r="A371" s="2">
        <v>370</v>
      </c>
      <c r="B371" s="2">
        <v>4</v>
      </c>
      <c r="C371" s="2" t="s">
        <v>55</v>
      </c>
      <c r="D371" s="2" t="s">
        <v>895</v>
      </c>
      <c r="E371" s="2" t="s">
        <v>610</v>
      </c>
      <c r="F371" s="2" t="s">
        <v>237</v>
      </c>
      <c r="G371" s="2" t="s">
        <v>54</v>
      </c>
      <c r="H371" s="23">
        <v>217</v>
      </c>
      <c r="I371" s="6">
        <v>550</v>
      </c>
      <c r="J371" s="1" t="s">
        <v>127</v>
      </c>
      <c r="K371" s="6">
        <v>0</v>
      </c>
      <c r="M371" s="70" t="str">
        <f>VLOOKUP(Table3[[#This Row],[Shop Name]],seller!A:A,1,0)</f>
        <v>Surana Fashion</v>
      </c>
    </row>
    <row r="372" spans="1:13" x14ac:dyDescent="0.2">
      <c r="A372" s="2">
        <v>371</v>
      </c>
      <c r="B372" s="2">
        <v>4</v>
      </c>
      <c r="C372" s="2" t="s">
        <v>55</v>
      </c>
      <c r="D372" s="2" t="s">
        <v>896</v>
      </c>
      <c r="E372" s="2" t="s">
        <v>610</v>
      </c>
      <c r="F372" s="2" t="s">
        <v>237</v>
      </c>
      <c r="G372" s="2" t="s">
        <v>54</v>
      </c>
      <c r="H372" s="23">
        <v>217</v>
      </c>
      <c r="I372" s="6">
        <v>550</v>
      </c>
      <c r="J372" s="1" t="s">
        <v>127</v>
      </c>
      <c r="K372" s="6">
        <v>0</v>
      </c>
      <c r="M372" s="70" t="str">
        <f>VLOOKUP(Table3[[#This Row],[Shop Name]],seller!A:A,1,0)</f>
        <v>Surana Fashion</v>
      </c>
    </row>
    <row r="373" spans="1:13" x14ac:dyDescent="0.2">
      <c r="A373" s="2">
        <v>372</v>
      </c>
      <c r="B373" s="2">
        <v>4</v>
      </c>
      <c r="C373" s="2" t="s">
        <v>55</v>
      </c>
      <c r="D373" s="2" t="s">
        <v>619</v>
      </c>
      <c r="E373" s="2" t="s">
        <v>7</v>
      </c>
      <c r="F373" s="2" t="s">
        <v>237</v>
      </c>
      <c r="G373" s="2" t="s">
        <v>49</v>
      </c>
      <c r="H373" s="23">
        <v>217</v>
      </c>
      <c r="I373" s="6">
        <v>550</v>
      </c>
      <c r="J373" s="1" t="s">
        <v>127</v>
      </c>
      <c r="K373" s="6">
        <v>0</v>
      </c>
      <c r="M373" s="70" t="str">
        <f>VLOOKUP(Table3[[#This Row],[Shop Name]],seller!A:A,1,0)</f>
        <v>Surana Fashion</v>
      </c>
    </row>
    <row r="374" spans="1:13" x14ac:dyDescent="0.2">
      <c r="A374" s="2">
        <v>373</v>
      </c>
      <c r="B374" s="2">
        <v>4</v>
      </c>
      <c r="C374" s="2" t="s">
        <v>55</v>
      </c>
      <c r="D374" s="2" t="s">
        <v>620</v>
      </c>
      <c r="E374" s="2" t="s">
        <v>7</v>
      </c>
      <c r="F374" s="2" t="s">
        <v>237</v>
      </c>
      <c r="G374" s="2" t="s">
        <v>49</v>
      </c>
      <c r="H374" s="23">
        <v>217</v>
      </c>
      <c r="I374" s="6">
        <v>550</v>
      </c>
      <c r="J374" s="1" t="s">
        <v>163</v>
      </c>
      <c r="K374" s="6">
        <v>400</v>
      </c>
      <c r="L374" s="1" t="s">
        <v>652</v>
      </c>
      <c r="M374" s="70" t="str">
        <f>VLOOKUP(Table3[[#This Row],[Shop Name]],seller!A:A,1,0)</f>
        <v>Surana Fashion</v>
      </c>
    </row>
    <row r="375" spans="1:13" x14ac:dyDescent="0.2">
      <c r="A375" s="2">
        <v>374</v>
      </c>
      <c r="B375" s="2">
        <v>4</v>
      </c>
      <c r="C375" s="2" t="s">
        <v>55</v>
      </c>
      <c r="D375" s="2" t="s">
        <v>621</v>
      </c>
      <c r="E375" s="2" t="s">
        <v>7</v>
      </c>
      <c r="F375" s="2" t="s">
        <v>237</v>
      </c>
      <c r="G375" s="2" t="s">
        <v>49</v>
      </c>
      <c r="H375" s="23">
        <v>217</v>
      </c>
      <c r="I375" s="6">
        <v>550</v>
      </c>
      <c r="J375" s="1" t="s">
        <v>127</v>
      </c>
      <c r="K375" s="6">
        <v>0</v>
      </c>
      <c r="M375" s="70" t="str">
        <f>VLOOKUP(Table3[[#This Row],[Shop Name]],seller!A:A,1,0)</f>
        <v>Surana Fashion</v>
      </c>
    </row>
    <row r="376" spans="1:13" x14ac:dyDescent="0.2">
      <c r="A376" s="2">
        <v>375</v>
      </c>
      <c r="B376" s="2">
        <v>4</v>
      </c>
      <c r="C376" s="2" t="s">
        <v>55</v>
      </c>
      <c r="D376" s="2" t="s">
        <v>897</v>
      </c>
      <c r="E376" s="2" t="s">
        <v>611</v>
      </c>
      <c r="F376" s="2" t="s">
        <v>237</v>
      </c>
      <c r="G376" s="2" t="s">
        <v>44</v>
      </c>
      <c r="H376" s="23">
        <v>217</v>
      </c>
      <c r="I376" s="6">
        <v>550</v>
      </c>
      <c r="J376" s="1" t="s">
        <v>127</v>
      </c>
      <c r="K376" s="6">
        <v>0</v>
      </c>
      <c r="M376" s="70" t="str">
        <f>VLOOKUP(Table3[[#This Row],[Shop Name]],seller!A:A,1,0)</f>
        <v>Surana Fashion</v>
      </c>
    </row>
    <row r="377" spans="1:13" x14ac:dyDescent="0.2">
      <c r="A377" s="2">
        <v>376</v>
      </c>
      <c r="B377" s="2">
        <v>6</v>
      </c>
      <c r="C377" s="2" t="s">
        <v>612</v>
      </c>
      <c r="D377" s="2" t="s">
        <v>898</v>
      </c>
      <c r="E377" s="2" t="s">
        <v>610</v>
      </c>
      <c r="F377" s="2" t="s">
        <v>237</v>
      </c>
      <c r="G377" s="2" t="s">
        <v>613</v>
      </c>
      <c r="H377" s="23">
        <v>216</v>
      </c>
      <c r="I377" s="6">
        <v>600</v>
      </c>
      <c r="J377" s="1" t="s">
        <v>127</v>
      </c>
      <c r="K377" s="6">
        <v>0</v>
      </c>
      <c r="M377" s="70" t="str">
        <f>VLOOKUP(Table3[[#This Row],[Shop Name]],seller!A:A,1,0)</f>
        <v>Surana Fashion</v>
      </c>
    </row>
    <row r="378" spans="1:13" x14ac:dyDescent="0.2">
      <c r="A378" s="2">
        <v>377</v>
      </c>
      <c r="B378" s="2">
        <v>5</v>
      </c>
      <c r="C378" s="2" t="s">
        <v>612</v>
      </c>
      <c r="D378" s="2" t="s">
        <v>899</v>
      </c>
      <c r="E378" s="2" t="s">
        <v>614</v>
      </c>
      <c r="F378" s="2" t="s">
        <v>237</v>
      </c>
      <c r="G378" s="2" t="s">
        <v>49</v>
      </c>
      <c r="H378" s="23">
        <v>216</v>
      </c>
      <c r="I378" s="6">
        <v>600</v>
      </c>
      <c r="J378" s="1" t="s">
        <v>127</v>
      </c>
      <c r="K378" s="6">
        <v>0</v>
      </c>
      <c r="M378" s="70" t="str">
        <f>VLOOKUP(Table3[[#This Row],[Shop Name]],seller!A:A,1,0)</f>
        <v>Surana Fashion</v>
      </c>
    </row>
    <row r="379" spans="1:13" x14ac:dyDescent="0.2">
      <c r="A379" s="2">
        <v>378</v>
      </c>
      <c r="B379" s="2">
        <v>5</v>
      </c>
      <c r="C379" s="2" t="s">
        <v>612</v>
      </c>
      <c r="D379" s="2" t="s">
        <v>900</v>
      </c>
      <c r="E379" s="2" t="s">
        <v>614</v>
      </c>
      <c r="F379" s="2" t="s">
        <v>237</v>
      </c>
      <c r="G379" s="2" t="s">
        <v>49</v>
      </c>
      <c r="H379" s="23">
        <v>216</v>
      </c>
      <c r="I379" s="6">
        <v>600</v>
      </c>
      <c r="J379" s="1" t="s">
        <v>127</v>
      </c>
      <c r="K379" s="6">
        <v>0</v>
      </c>
      <c r="M379" s="70" t="str">
        <f>VLOOKUP(Table3[[#This Row],[Shop Name]],seller!A:A,1,0)</f>
        <v>Surana Fashion</v>
      </c>
    </row>
    <row r="380" spans="1:13" x14ac:dyDescent="0.2">
      <c r="A380" s="2">
        <v>379</v>
      </c>
      <c r="B380" s="2">
        <v>5</v>
      </c>
      <c r="C380" s="2" t="s">
        <v>612</v>
      </c>
      <c r="D380" s="2" t="s">
        <v>622</v>
      </c>
      <c r="E380" s="2" t="s">
        <v>7</v>
      </c>
      <c r="F380" s="2" t="s">
        <v>237</v>
      </c>
      <c r="G380" s="2" t="s">
        <v>613</v>
      </c>
      <c r="H380" s="23">
        <v>216</v>
      </c>
      <c r="I380" s="6">
        <v>600</v>
      </c>
      <c r="J380" s="1" t="s">
        <v>163</v>
      </c>
      <c r="K380" s="6">
        <v>600</v>
      </c>
      <c r="L380" s="1" t="s">
        <v>652</v>
      </c>
      <c r="M380" s="70" t="str">
        <f>VLOOKUP(Table3[[#This Row],[Shop Name]],seller!A:A,1,0)</f>
        <v>Surana Fashion</v>
      </c>
    </row>
    <row r="381" spans="1:13" x14ac:dyDescent="0.2">
      <c r="A381" s="2">
        <v>380</v>
      </c>
      <c r="B381" s="2">
        <v>7</v>
      </c>
      <c r="C381" s="2" t="s">
        <v>615</v>
      </c>
      <c r="D381" s="2" t="s">
        <v>623</v>
      </c>
      <c r="E381" s="2" t="s">
        <v>617</v>
      </c>
      <c r="F381" s="2" t="s">
        <v>237</v>
      </c>
      <c r="G381" s="2" t="s">
        <v>267</v>
      </c>
      <c r="H381" s="23">
        <v>487</v>
      </c>
      <c r="I381" s="6">
        <v>840</v>
      </c>
      <c r="J381" s="1" t="s">
        <v>127</v>
      </c>
      <c r="K381" s="6">
        <v>0</v>
      </c>
      <c r="M381" s="70" t="str">
        <f>VLOOKUP(Table3[[#This Row],[Shop Name]],seller!A:A,1,0)</f>
        <v>Surana Fashion</v>
      </c>
    </row>
    <row r="382" spans="1:13" x14ac:dyDescent="0.2">
      <c r="A382" s="2">
        <v>381</v>
      </c>
      <c r="B382" s="8">
        <v>7</v>
      </c>
      <c r="C382" s="8" t="s">
        <v>616</v>
      </c>
      <c r="D382" s="2" t="s">
        <v>624</v>
      </c>
      <c r="E382" s="2" t="s">
        <v>617</v>
      </c>
      <c r="F382" s="2" t="s">
        <v>237</v>
      </c>
      <c r="G382" s="2" t="s">
        <v>267</v>
      </c>
      <c r="H382" s="23">
        <v>487</v>
      </c>
      <c r="I382" s="6">
        <v>840</v>
      </c>
      <c r="J382" s="1" t="s">
        <v>127</v>
      </c>
      <c r="K382" s="6">
        <v>0</v>
      </c>
      <c r="L382" s="39"/>
      <c r="M382" s="70" t="str">
        <f>VLOOKUP(Table3[[#This Row],[Shop Name]],seller!A:A,1,0)</f>
        <v>Surana Fashion</v>
      </c>
    </row>
    <row r="383" spans="1:13" x14ac:dyDescent="0.2">
      <c r="A383" s="2">
        <v>382</v>
      </c>
      <c r="B383" s="2" t="s">
        <v>719</v>
      </c>
      <c r="C383" s="2" t="s">
        <v>832</v>
      </c>
      <c r="D383" s="2" t="s">
        <v>1024</v>
      </c>
      <c r="E383" s="2" t="s">
        <v>263</v>
      </c>
      <c r="F383" s="2" t="s">
        <v>237</v>
      </c>
      <c r="G383" s="2" t="s">
        <v>44</v>
      </c>
      <c r="H383" s="23">
        <v>816</v>
      </c>
      <c r="I383" s="6">
        <v>1150</v>
      </c>
      <c r="J383" s="1" t="s">
        <v>163</v>
      </c>
      <c r="K383" s="6">
        <v>1100</v>
      </c>
      <c r="L383" s="1" t="s">
        <v>725</v>
      </c>
      <c r="M383" s="70" t="str">
        <f>VLOOKUP(Table3[[#This Row],[Shop Name]],seller!A:A,1,0)</f>
        <v>Surana Fashion</v>
      </c>
    </row>
    <row r="384" spans="1:13" ht="32" x14ac:dyDescent="0.2">
      <c r="A384" s="2">
        <v>383</v>
      </c>
      <c r="B384" s="2">
        <v>1</v>
      </c>
      <c r="C384" s="2" t="s">
        <v>240</v>
      </c>
      <c r="D384" s="2" t="s">
        <v>625</v>
      </c>
      <c r="E384" s="2" t="s">
        <v>263</v>
      </c>
      <c r="F384" s="2" t="s">
        <v>237</v>
      </c>
      <c r="G384" s="2" t="s">
        <v>44</v>
      </c>
      <c r="H384" s="23">
        <v>816</v>
      </c>
      <c r="I384" s="6">
        <v>1150</v>
      </c>
      <c r="J384" s="1" t="s">
        <v>163</v>
      </c>
      <c r="K384" s="6">
        <v>1070</v>
      </c>
      <c r="L384" s="1" t="s">
        <v>703</v>
      </c>
      <c r="M384" s="70" t="str">
        <f>VLOOKUP(Table3[[#This Row],[Shop Name]],seller!A:A,1,0)</f>
        <v>Surana Fashion</v>
      </c>
    </row>
    <row r="385" spans="1:13" x14ac:dyDescent="0.2">
      <c r="A385" s="2">
        <v>384</v>
      </c>
      <c r="B385" s="2">
        <v>3</v>
      </c>
      <c r="C385" s="2" t="s">
        <v>618</v>
      </c>
      <c r="D385" s="2" t="s">
        <v>626</v>
      </c>
      <c r="E385" s="2" t="s">
        <v>768</v>
      </c>
      <c r="F385" s="2" t="s">
        <v>237</v>
      </c>
      <c r="G385" s="2" t="s">
        <v>54</v>
      </c>
      <c r="H385" s="23">
        <v>566</v>
      </c>
      <c r="I385" s="6">
        <v>880</v>
      </c>
      <c r="J385" s="1" t="s">
        <v>163</v>
      </c>
      <c r="K385" s="6">
        <v>880</v>
      </c>
      <c r="L385" s="1" t="s">
        <v>802</v>
      </c>
      <c r="M385" s="70" t="str">
        <f>VLOOKUP(Table3[[#This Row],[Shop Name]],seller!A:A,1,0)</f>
        <v>Surana Fashion</v>
      </c>
    </row>
    <row r="386" spans="1:13" x14ac:dyDescent="0.2">
      <c r="A386" s="2">
        <v>385</v>
      </c>
      <c r="B386" s="2">
        <v>3</v>
      </c>
      <c r="C386" s="2" t="s">
        <v>618</v>
      </c>
      <c r="D386" s="2" t="s">
        <v>626</v>
      </c>
      <c r="E386" s="2" t="s">
        <v>768</v>
      </c>
      <c r="F386" s="2" t="s">
        <v>237</v>
      </c>
      <c r="G386" s="2" t="s">
        <v>54</v>
      </c>
      <c r="H386" s="23">
        <v>566</v>
      </c>
      <c r="I386" s="6">
        <v>880</v>
      </c>
      <c r="J386" s="1" t="s">
        <v>127</v>
      </c>
      <c r="K386" s="6">
        <v>0</v>
      </c>
      <c r="M386" s="70" t="str">
        <f>VLOOKUP(Table3[[#This Row],[Shop Name]],seller!A:A,1,0)</f>
        <v>Surana Fashion</v>
      </c>
    </row>
    <row r="387" spans="1:13" x14ac:dyDescent="0.2">
      <c r="A387" s="2">
        <v>386</v>
      </c>
      <c r="B387" s="8">
        <v>3</v>
      </c>
      <c r="C387" s="8" t="s">
        <v>55</v>
      </c>
      <c r="D387" s="8" t="s">
        <v>627</v>
      </c>
      <c r="E387" s="8" t="s">
        <v>768</v>
      </c>
      <c r="F387" s="8" t="s">
        <v>237</v>
      </c>
      <c r="G387" s="8" t="s">
        <v>54</v>
      </c>
      <c r="H387" s="42">
        <v>316</v>
      </c>
      <c r="I387" s="9">
        <v>599</v>
      </c>
      <c r="J387" s="39" t="s">
        <v>127</v>
      </c>
      <c r="K387" s="9">
        <v>0</v>
      </c>
      <c r="L387" s="39"/>
      <c r="M387" s="70" t="str">
        <f>VLOOKUP(Table3[[#This Row],[Shop Name]],seller!A:A,1,0)</f>
        <v>Surana Fashion</v>
      </c>
    </row>
    <row r="388" spans="1:13" x14ac:dyDescent="0.2">
      <c r="A388" s="2">
        <v>387</v>
      </c>
      <c r="B388" s="2">
        <v>2</v>
      </c>
      <c r="C388" s="2" t="s">
        <v>53</v>
      </c>
      <c r="D388" s="2" t="s">
        <v>633</v>
      </c>
      <c r="E388" s="2" t="s">
        <v>249</v>
      </c>
      <c r="F388" s="2" t="s">
        <v>61</v>
      </c>
      <c r="G388" s="2" t="s">
        <v>56</v>
      </c>
      <c r="H388" s="23">
        <v>1255</v>
      </c>
      <c r="I388" s="6">
        <v>1599</v>
      </c>
      <c r="J388" s="1" t="s">
        <v>127</v>
      </c>
      <c r="K388" s="6">
        <v>0</v>
      </c>
      <c r="M388" s="70" t="str">
        <f>VLOOKUP(Table3[[#This Row],[Shop Name]],seller!A:A,1,0)</f>
        <v>RV Fashion</v>
      </c>
    </row>
    <row r="389" spans="1:13" x14ac:dyDescent="0.2">
      <c r="A389" s="2">
        <v>388</v>
      </c>
      <c r="B389" s="2">
        <v>2</v>
      </c>
      <c r="C389" s="2" t="s">
        <v>53</v>
      </c>
      <c r="D389" s="2" t="s">
        <v>633</v>
      </c>
      <c r="E389" s="2" t="s">
        <v>249</v>
      </c>
      <c r="F389" s="2" t="s">
        <v>61</v>
      </c>
      <c r="G389" s="2" t="s">
        <v>54</v>
      </c>
      <c r="H389" s="23">
        <v>1255</v>
      </c>
      <c r="I389" s="6">
        <v>1599</v>
      </c>
      <c r="J389" s="1" t="s">
        <v>163</v>
      </c>
      <c r="K389" s="6">
        <v>1255</v>
      </c>
      <c r="L389" s="1" t="s">
        <v>333</v>
      </c>
      <c r="M389" s="70" t="str">
        <f>VLOOKUP(Table3[[#This Row],[Shop Name]],seller!A:A,1,0)</f>
        <v>RV Fashion</v>
      </c>
    </row>
    <row r="390" spans="1:13" ht="32" x14ac:dyDescent="0.2">
      <c r="A390" s="2">
        <v>389</v>
      </c>
      <c r="B390" s="2">
        <v>1</v>
      </c>
      <c r="C390" s="8" t="s">
        <v>46</v>
      </c>
      <c r="D390" s="2" t="s">
        <v>691</v>
      </c>
      <c r="E390" s="2" t="s">
        <v>378</v>
      </c>
      <c r="F390" s="2" t="s">
        <v>61</v>
      </c>
      <c r="G390" s="2" t="s">
        <v>341</v>
      </c>
      <c r="H390" s="23">
        <v>650</v>
      </c>
      <c r="I390" s="6">
        <v>999</v>
      </c>
      <c r="J390" s="1" t="s">
        <v>163</v>
      </c>
      <c r="K390" s="6">
        <v>925</v>
      </c>
      <c r="L390" s="1" t="s">
        <v>696</v>
      </c>
      <c r="M390" s="70" t="str">
        <f>VLOOKUP(Table3[[#This Row],[Shop Name]],seller!A:A,1,0)</f>
        <v>RV Fashion</v>
      </c>
    </row>
    <row r="391" spans="1:13" ht="32" x14ac:dyDescent="0.2">
      <c r="A391" s="2">
        <v>390</v>
      </c>
      <c r="B391" s="2" t="s">
        <v>687</v>
      </c>
      <c r="C391" s="8" t="s">
        <v>46</v>
      </c>
      <c r="D391" s="2" t="s">
        <v>691</v>
      </c>
      <c r="E391" s="2" t="s">
        <v>378</v>
      </c>
      <c r="F391" s="2" t="s">
        <v>61</v>
      </c>
      <c r="G391" s="2" t="s">
        <v>285</v>
      </c>
      <c r="H391" s="23">
        <v>650</v>
      </c>
      <c r="I391" s="6">
        <v>999</v>
      </c>
      <c r="J391" s="1" t="s">
        <v>163</v>
      </c>
      <c r="K391" s="6">
        <v>950</v>
      </c>
      <c r="L391" s="1" t="s">
        <v>692</v>
      </c>
      <c r="M391" s="70" t="str">
        <f>VLOOKUP(Table3[[#This Row],[Shop Name]],seller!A:A,1,0)</f>
        <v>RV Fashion</v>
      </c>
    </row>
    <row r="392" spans="1:13" ht="32" x14ac:dyDescent="0.2">
      <c r="A392" s="2">
        <v>391</v>
      </c>
      <c r="B392" s="2" t="s">
        <v>719</v>
      </c>
      <c r="C392" s="8" t="s">
        <v>46</v>
      </c>
      <c r="D392" s="2" t="s">
        <v>901</v>
      </c>
      <c r="E392" s="2" t="s">
        <v>7</v>
      </c>
      <c r="F392" s="2" t="s">
        <v>61</v>
      </c>
      <c r="G392" s="2" t="s">
        <v>341</v>
      </c>
      <c r="H392" s="23">
        <v>610</v>
      </c>
      <c r="I392" s="6">
        <v>960</v>
      </c>
      <c r="J392" s="1" t="s">
        <v>163</v>
      </c>
      <c r="K392" s="6">
        <v>895</v>
      </c>
      <c r="L392" s="1" t="s">
        <v>718</v>
      </c>
      <c r="M392" s="70" t="str">
        <f>VLOOKUP(Table3[[#This Row],[Shop Name]],seller!A:A,1,0)</f>
        <v>RV Fashion</v>
      </c>
    </row>
    <row r="393" spans="1:13" ht="32" x14ac:dyDescent="0.2">
      <c r="A393" s="2">
        <v>392</v>
      </c>
      <c r="B393" s="2">
        <v>3</v>
      </c>
      <c r="C393" s="8" t="s">
        <v>46</v>
      </c>
      <c r="D393" s="2" t="s">
        <v>902</v>
      </c>
      <c r="E393" s="2" t="s">
        <v>7</v>
      </c>
      <c r="F393" s="2" t="s">
        <v>61</v>
      </c>
      <c r="G393" s="2" t="s">
        <v>285</v>
      </c>
      <c r="H393" s="23">
        <v>610</v>
      </c>
      <c r="I393" s="6">
        <v>960</v>
      </c>
      <c r="J393" s="1" t="s">
        <v>163</v>
      </c>
      <c r="K393" s="6">
        <v>900</v>
      </c>
      <c r="L393" s="1" t="s">
        <v>648</v>
      </c>
      <c r="M393" s="70" t="str">
        <f>VLOOKUP(Table3[[#This Row],[Shop Name]],seller!A:A,1,0)</f>
        <v>RV Fashion</v>
      </c>
    </row>
    <row r="394" spans="1:13" x14ac:dyDescent="0.2">
      <c r="A394" s="2">
        <v>393</v>
      </c>
      <c r="B394" s="2">
        <v>11</v>
      </c>
      <c r="C394" s="2" t="s">
        <v>634</v>
      </c>
      <c r="D394" s="2" t="s">
        <v>635</v>
      </c>
      <c r="E394" s="2" t="s">
        <v>249</v>
      </c>
      <c r="F394" s="2" t="s">
        <v>61</v>
      </c>
      <c r="G394" s="2" t="s">
        <v>44</v>
      </c>
      <c r="H394" s="23">
        <v>1060</v>
      </c>
      <c r="I394" s="6">
        <v>1499</v>
      </c>
      <c r="J394" s="1" t="s">
        <v>163</v>
      </c>
      <c r="K394" s="6">
        <v>1060</v>
      </c>
      <c r="L394" s="1" t="s">
        <v>609</v>
      </c>
      <c r="M394" s="70" t="str">
        <f>VLOOKUP(Table3[[#This Row],[Shop Name]],seller!A:A,1,0)</f>
        <v>RV Fashion</v>
      </c>
    </row>
    <row r="395" spans="1:13" x14ac:dyDescent="0.2">
      <c r="A395" s="2">
        <v>394</v>
      </c>
      <c r="B395" s="2" t="s">
        <v>804</v>
      </c>
      <c r="C395" s="2" t="s">
        <v>634</v>
      </c>
      <c r="D395" s="2" t="s">
        <v>635</v>
      </c>
      <c r="E395" s="2" t="s">
        <v>249</v>
      </c>
      <c r="F395" s="2" t="s">
        <v>61</v>
      </c>
      <c r="G395" s="2" t="s">
        <v>48</v>
      </c>
      <c r="H395" s="23">
        <v>1060</v>
      </c>
      <c r="I395" s="6">
        <v>1499</v>
      </c>
      <c r="J395" s="1" t="s">
        <v>163</v>
      </c>
      <c r="K395" s="6">
        <v>1400</v>
      </c>
      <c r="L395" s="1" t="s">
        <v>813</v>
      </c>
      <c r="M395" s="70" t="str">
        <f>VLOOKUP(Table3[[#This Row],[Shop Name]],seller!A:A,1,0)</f>
        <v>RV Fashion</v>
      </c>
    </row>
    <row r="396" spans="1:13" x14ac:dyDescent="0.2">
      <c r="A396" s="2">
        <v>395</v>
      </c>
      <c r="B396" s="2" t="s">
        <v>954</v>
      </c>
      <c r="C396" s="2" t="s">
        <v>576</v>
      </c>
      <c r="D396" s="2" t="s">
        <v>266</v>
      </c>
      <c r="E396" s="2" t="s">
        <v>7</v>
      </c>
      <c r="F396" s="2" t="s">
        <v>61</v>
      </c>
      <c r="G396" s="2" t="s">
        <v>267</v>
      </c>
      <c r="H396" s="23">
        <v>260</v>
      </c>
      <c r="I396" s="6">
        <v>450</v>
      </c>
      <c r="J396" s="1" t="s">
        <v>163</v>
      </c>
      <c r="K396" s="6">
        <v>400</v>
      </c>
      <c r="L396" s="1" t="s">
        <v>971</v>
      </c>
      <c r="M396" s="70" t="str">
        <f>VLOOKUP(Table3[[#This Row],[Shop Name]],seller!A:A,1,0)</f>
        <v>RV Fashion</v>
      </c>
    </row>
    <row r="397" spans="1:13" x14ac:dyDescent="0.2">
      <c r="A397" s="2">
        <v>396</v>
      </c>
      <c r="B397" s="2">
        <v>13</v>
      </c>
      <c r="C397" s="2" t="s">
        <v>576</v>
      </c>
      <c r="D397" s="2" t="s">
        <v>266</v>
      </c>
      <c r="E397" s="2" t="s">
        <v>7</v>
      </c>
      <c r="F397" s="2" t="s">
        <v>61</v>
      </c>
      <c r="G397" s="2" t="s">
        <v>267</v>
      </c>
      <c r="H397" s="23">
        <v>260</v>
      </c>
      <c r="I397" s="6">
        <v>450</v>
      </c>
      <c r="J397" s="1" t="s">
        <v>127</v>
      </c>
      <c r="K397" s="6">
        <v>0</v>
      </c>
      <c r="M397" s="70" t="str">
        <f>VLOOKUP(Table3[[#This Row],[Shop Name]],seller!A:A,1,0)</f>
        <v>RV Fashion</v>
      </c>
    </row>
    <row r="398" spans="1:13" x14ac:dyDescent="0.2">
      <c r="A398" s="2">
        <v>397</v>
      </c>
      <c r="B398" s="2">
        <v>13</v>
      </c>
      <c r="C398" s="2" t="s">
        <v>576</v>
      </c>
      <c r="D398" s="2" t="s">
        <v>278</v>
      </c>
      <c r="E398" s="2" t="s">
        <v>7</v>
      </c>
      <c r="F398" s="2" t="s">
        <v>61</v>
      </c>
      <c r="G398" s="2" t="s">
        <v>267</v>
      </c>
      <c r="H398" s="23">
        <v>260</v>
      </c>
      <c r="I398" s="6">
        <v>450</v>
      </c>
      <c r="J398" s="1" t="s">
        <v>127</v>
      </c>
      <c r="K398" s="6">
        <v>0</v>
      </c>
      <c r="M398" s="70" t="str">
        <f>VLOOKUP(Table3[[#This Row],[Shop Name]],seller!A:A,1,0)</f>
        <v>RV Fashion</v>
      </c>
    </row>
    <row r="399" spans="1:13" x14ac:dyDescent="0.2">
      <c r="A399" s="2">
        <v>398</v>
      </c>
      <c r="B399" s="2">
        <v>13</v>
      </c>
      <c r="C399" s="2" t="s">
        <v>576</v>
      </c>
      <c r="D399" s="2" t="s">
        <v>277</v>
      </c>
      <c r="E399" s="2" t="s">
        <v>7</v>
      </c>
      <c r="F399" s="2" t="s">
        <v>61</v>
      </c>
      <c r="G399" s="2" t="s">
        <v>267</v>
      </c>
      <c r="H399" s="23">
        <v>260</v>
      </c>
      <c r="I399" s="6">
        <v>450</v>
      </c>
      <c r="J399" s="1" t="s">
        <v>127</v>
      </c>
      <c r="K399" s="6">
        <v>0</v>
      </c>
      <c r="M399" s="70" t="str">
        <f>VLOOKUP(Table3[[#This Row],[Shop Name]],seller!A:A,1,0)</f>
        <v>RV Fashion</v>
      </c>
    </row>
    <row r="400" spans="1:13" x14ac:dyDescent="0.2">
      <c r="A400" s="2">
        <v>399</v>
      </c>
      <c r="B400" s="2">
        <v>13</v>
      </c>
      <c r="C400" s="2" t="s">
        <v>576</v>
      </c>
      <c r="D400" s="2" t="s">
        <v>277</v>
      </c>
      <c r="E400" s="2" t="s">
        <v>7</v>
      </c>
      <c r="F400" s="2" t="s">
        <v>61</v>
      </c>
      <c r="G400" s="2" t="s">
        <v>267</v>
      </c>
      <c r="H400" s="23">
        <v>260</v>
      </c>
      <c r="I400" s="6">
        <v>450</v>
      </c>
      <c r="J400" s="1" t="s">
        <v>127</v>
      </c>
      <c r="K400" s="6">
        <v>0</v>
      </c>
      <c r="M400" s="70" t="str">
        <f>VLOOKUP(Table3[[#This Row],[Shop Name]],seller!A:A,1,0)</f>
        <v>RV Fashion</v>
      </c>
    </row>
    <row r="401" spans="1:13" x14ac:dyDescent="0.2">
      <c r="A401" s="2">
        <v>400</v>
      </c>
      <c r="B401" s="2">
        <v>13</v>
      </c>
      <c r="C401" s="2" t="s">
        <v>576</v>
      </c>
      <c r="D401" s="2" t="s">
        <v>636</v>
      </c>
      <c r="E401" s="2" t="s">
        <v>7</v>
      </c>
      <c r="F401" s="2" t="s">
        <v>61</v>
      </c>
      <c r="G401" s="2" t="s">
        <v>267</v>
      </c>
      <c r="H401" s="23">
        <v>260</v>
      </c>
      <c r="I401" s="6">
        <v>450</v>
      </c>
      <c r="J401" s="1" t="s">
        <v>127</v>
      </c>
      <c r="K401" s="6">
        <v>0</v>
      </c>
      <c r="M401" s="70" t="str">
        <f>VLOOKUP(Table3[[#This Row],[Shop Name]],seller!A:A,1,0)</f>
        <v>RV Fashion</v>
      </c>
    </row>
    <row r="402" spans="1:13" x14ac:dyDescent="0.2">
      <c r="A402" s="2">
        <v>401</v>
      </c>
      <c r="B402" s="2">
        <v>4</v>
      </c>
      <c r="C402" s="2" t="s">
        <v>59</v>
      </c>
      <c r="D402" s="2" t="s">
        <v>637</v>
      </c>
      <c r="E402" s="2" t="s">
        <v>7</v>
      </c>
      <c r="F402" s="2" t="s">
        <v>61</v>
      </c>
      <c r="G402" s="2" t="s">
        <v>56</v>
      </c>
      <c r="H402" s="23">
        <v>460</v>
      </c>
      <c r="I402" s="6">
        <v>799</v>
      </c>
      <c r="J402" s="1" t="s">
        <v>127</v>
      </c>
      <c r="K402" s="6">
        <v>0</v>
      </c>
      <c r="M402" s="70" t="str">
        <f>VLOOKUP(Table3[[#This Row],[Shop Name]],seller!A:A,1,0)</f>
        <v>RV Fashion</v>
      </c>
    </row>
    <row r="403" spans="1:13" x14ac:dyDescent="0.2">
      <c r="A403" s="2">
        <v>402</v>
      </c>
      <c r="B403" s="2">
        <v>4</v>
      </c>
      <c r="C403" s="2" t="s">
        <v>59</v>
      </c>
      <c r="D403" s="2" t="s">
        <v>637</v>
      </c>
      <c r="E403" s="2" t="s">
        <v>7</v>
      </c>
      <c r="F403" s="2" t="s">
        <v>61</v>
      </c>
      <c r="G403" s="2" t="s">
        <v>48</v>
      </c>
      <c r="H403" s="23">
        <v>460</v>
      </c>
      <c r="I403" s="6">
        <v>799</v>
      </c>
      <c r="J403" s="1" t="s">
        <v>127</v>
      </c>
      <c r="K403" s="6">
        <v>0</v>
      </c>
      <c r="M403" s="70" t="str">
        <f>VLOOKUP(Table3[[#This Row],[Shop Name]],seller!A:A,1,0)</f>
        <v>RV Fashion</v>
      </c>
    </row>
    <row r="404" spans="1:13" x14ac:dyDescent="0.2">
      <c r="A404" s="2">
        <v>403</v>
      </c>
      <c r="B404" s="2">
        <v>4</v>
      </c>
      <c r="C404" s="2" t="s">
        <v>59</v>
      </c>
      <c r="D404" s="2" t="s">
        <v>637</v>
      </c>
      <c r="E404" s="2" t="s">
        <v>7</v>
      </c>
      <c r="F404" s="2" t="s">
        <v>61</v>
      </c>
      <c r="G404" s="2" t="s">
        <v>54</v>
      </c>
      <c r="H404" s="23">
        <v>460</v>
      </c>
      <c r="I404" s="6">
        <v>799</v>
      </c>
      <c r="J404" s="1" t="s">
        <v>127</v>
      </c>
      <c r="K404" s="6">
        <v>0</v>
      </c>
      <c r="M404" s="70" t="str">
        <f>VLOOKUP(Table3[[#This Row],[Shop Name]],seller!A:A,1,0)</f>
        <v>RV Fashion</v>
      </c>
    </row>
    <row r="405" spans="1:13" ht="32" x14ac:dyDescent="0.2">
      <c r="A405" s="2">
        <v>404</v>
      </c>
      <c r="B405" s="2" t="s">
        <v>784</v>
      </c>
      <c r="C405" s="2" t="s">
        <v>59</v>
      </c>
      <c r="D405" s="2" t="s">
        <v>637</v>
      </c>
      <c r="E405" s="2" t="s">
        <v>7</v>
      </c>
      <c r="F405" s="2" t="s">
        <v>61</v>
      </c>
      <c r="G405" s="2" t="s">
        <v>44</v>
      </c>
      <c r="H405" s="23">
        <v>460</v>
      </c>
      <c r="I405" s="6">
        <v>799</v>
      </c>
      <c r="J405" s="1" t="s">
        <v>163</v>
      </c>
      <c r="K405" s="6">
        <v>774</v>
      </c>
      <c r="L405" s="1" t="s">
        <v>799</v>
      </c>
      <c r="M405" s="70" t="str">
        <f>VLOOKUP(Table3[[#This Row],[Shop Name]],seller!A:A,1,0)</f>
        <v>RV Fashion</v>
      </c>
    </row>
    <row r="406" spans="1:13" ht="32" x14ac:dyDescent="0.2">
      <c r="A406" s="2">
        <v>405</v>
      </c>
      <c r="B406" s="2" t="s">
        <v>784</v>
      </c>
      <c r="C406" s="2" t="s">
        <v>59</v>
      </c>
      <c r="D406" s="2" t="s">
        <v>638</v>
      </c>
      <c r="E406" s="2" t="s">
        <v>7</v>
      </c>
      <c r="F406" s="2" t="s">
        <v>61</v>
      </c>
      <c r="G406" s="2" t="s">
        <v>44</v>
      </c>
      <c r="H406" s="23">
        <v>460</v>
      </c>
      <c r="I406" s="6">
        <v>799</v>
      </c>
      <c r="J406" s="1" t="s">
        <v>163</v>
      </c>
      <c r="K406" s="6">
        <v>774</v>
      </c>
      <c r="L406" s="1" t="s">
        <v>799</v>
      </c>
      <c r="M406" s="70" t="str">
        <f>VLOOKUP(Table3[[#This Row],[Shop Name]],seller!A:A,1,0)</f>
        <v>RV Fashion</v>
      </c>
    </row>
    <row r="407" spans="1:13" x14ac:dyDescent="0.2">
      <c r="A407" s="2">
        <v>406</v>
      </c>
      <c r="B407" s="2" t="s">
        <v>719</v>
      </c>
      <c r="C407" s="2" t="s">
        <v>59</v>
      </c>
      <c r="D407" s="2" t="s">
        <v>638</v>
      </c>
      <c r="E407" s="2" t="s">
        <v>7</v>
      </c>
      <c r="F407" s="2" t="s">
        <v>61</v>
      </c>
      <c r="G407" s="2" t="s">
        <v>48</v>
      </c>
      <c r="H407" s="23">
        <v>460</v>
      </c>
      <c r="I407" s="6">
        <v>799</v>
      </c>
      <c r="J407" s="1" t="s">
        <v>163</v>
      </c>
      <c r="K407" s="6">
        <v>730</v>
      </c>
      <c r="L407" s="1" t="s">
        <v>726</v>
      </c>
      <c r="M407" s="70" t="str">
        <f>VLOOKUP(Table3[[#This Row],[Shop Name]],seller!A:A,1,0)</f>
        <v>RV Fashion</v>
      </c>
    </row>
    <row r="408" spans="1:13" ht="32" x14ac:dyDescent="0.2">
      <c r="A408" s="2">
        <v>407</v>
      </c>
      <c r="B408" s="2">
        <v>15</v>
      </c>
      <c r="C408" s="2" t="s">
        <v>589</v>
      </c>
      <c r="D408" s="2" t="s">
        <v>639</v>
      </c>
      <c r="E408" s="2" t="s">
        <v>7</v>
      </c>
      <c r="F408" s="2" t="s">
        <v>61</v>
      </c>
      <c r="G408" s="2" t="s">
        <v>44</v>
      </c>
      <c r="H408" s="23">
        <v>570</v>
      </c>
      <c r="I408" s="6">
        <v>899</v>
      </c>
      <c r="J408" s="1" t="s">
        <v>127</v>
      </c>
      <c r="K408" s="6">
        <v>0</v>
      </c>
      <c r="M408" s="70" t="str">
        <f>VLOOKUP(Table3[[#This Row],[Shop Name]],seller!A:A,1,0)</f>
        <v>RV Fashion</v>
      </c>
    </row>
    <row r="409" spans="1:13" ht="32" x14ac:dyDescent="0.2">
      <c r="A409" s="2">
        <v>408</v>
      </c>
      <c r="B409" s="2">
        <v>15</v>
      </c>
      <c r="C409" s="2" t="s">
        <v>589</v>
      </c>
      <c r="D409" s="2" t="s">
        <v>639</v>
      </c>
      <c r="E409" s="2" t="s">
        <v>7</v>
      </c>
      <c r="F409" s="2" t="s">
        <v>61</v>
      </c>
      <c r="G409" s="2" t="s">
        <v>48</v>
      </c>
      <c r="H409" s="23">
        <v>570</v>
      </c>
      <c r="I409" s="6">
        <v>899</v>
      </c>
      <c r="J409" s="1" t="s">
        <v>127</v>
      </c>
      <c r="K409" s="6">
        <v>0</v>
      </c>
      <c r="M409" s="70" t="str">
        <f>VLOOKUP(Table3[[#This Row],[Shop Name]],seller!A:A,1,0)</f>
        <v>RV Fashion</v>
      </c>
    </row>
    <row r="410" spans="1:13" x14ac:dyDescent="0.2">
      <c r="A410" s="2">
        <v>409</v>
      </c>
      <c r="B410" s="2" t="s">
        <v>954</v>
      </c>
      <c r="C410" s="2" t="s">
        <v>55</v>
      </c>
      <c r="D410" s="2" t="s">
        <v>640</v>
      </c>
      <c r="E410" s="2" t="s">
        <v>7</v>
      </c>
      <c r="F410" s="2" t="s">
        <v>61</v>
      </c>
      <c r="G410" s="2" t="s">
        <v>48</v>
      </c>
      <c r="H410" s="23">
        <v>430</v>
      </c>
      <c r="I410" s="6">
        <v>750</v>
      </c>
      <c r="J410" s="1" t="s">
        <v>163</v>
      </c>
      <c r="K410" s="6">
        <v>700</v>
      </c>
      <c r="L410" s="1" t="s">
        <v>970</v>
      </c>
      <c r="M410" s="70" t="str">
        <f>VLOOKUP(Table3[[#This Row],[Shop Name]],seller!A:A,1,0)</f>
        <v>RV Fashion</v>
      </c>
    </row>
    <row r="411" spans="1:13" x14ac:dyDescent="0.2">
      <c r="A411" s="2">
        <v>410</v>
      </c>
      <c r="B411" s="2" t="s">
        <v>954</v>
      </c>
      <c r="C411" s="2" t="s">
        <v>55</v>
      </c>
      <c r="D411" s="2" t="s">
        <v>640</v>
      </c>
      <c r="E411" s="2" t="s">
        <v>7</v>
      </c>
      <c r="F411" s="2" t="s">
        <v>61</v>
      </c>
      <c r="G411" s="2" t="s">
        <v>44</v>
      </c>
      <c r="H411" s="23">
        <v>430</v>
      </c>
      <c r="I411" s="6">
        <v>750</v>
      </c>
      <c r="J411" s="1" t="s">
        <v>163</v>
      </c>
      <c r="K411" s="6">
        <v>700</v>
      </c>
      <c r="L411" s="1" t="s">
        <v>969</v>
      </c>
      <c r="M411" s="70" t="str">
        <f>VLOOKUP(Table3[[#This Row],[Shop Name]],seller!A:A,1,0)</f>
        <v>RV Fashion</v>
      </c>
    </row>
    <row r="412" spans="1:13" x14ac:dyDescent="0.2">
      <c r="A412" s="2">
        <v>411</v>
      </c>
      <c r="B412" s="2">
        <v>6</v>
      </c>
      <c r="C412" s="2" t="s">
        <v>55</v>
      </c>
      <c r="D412" s="2" t="s">
        <v>641</v>
      </c>
      <c r="E412" s="2" t="s">
        <v>7</v>
      </c>
      <c r="F412" s="2" t="s">
        <v>61</v>
      </c>
      <c r="G412" s="2" t="s">
        <v>48</v>
      </c>
      <c r="H412" s="23">
        <v>400</v>
      </c>
      <c r="I412" s="6">
        <v>700</v>
      </c>
      <c r="J412" s="1" t="s">
        <v>127</v>
      </c>
      <c r="K412" s="6">
        <v>0</v>
      </c>
      <c r="M412" s="70" t="str">
        <f>VLOOKUP(Table3[[#This Row],[Shop Name]],seller!A:A,1,0)</f>
        <v>RV Fashion</v>
      </c>
    </row>
    <row r="413" spans="1:13" x14ac:dyDescent="0.2">
      <c r="A413" s="2">
        <v>412</v>
      </c>
      <c r="B413" s="2" t="s">
        <v>954</v>
      </c>
      <c r="C413" s="2" t="s">
        <v>55</v>
      </c>
      <c r="D413" s="2" t="s">
        <v>641</v>
      </c>
      <c r="E413" s="2" t="s">
        <v>7</v>
      </c>
      <c r="F413" s="2" t="s">
        <v>61</v>
      </c>
      <c r="G413" s="2" t="s">
        <v>44</v>
      </c>
      <c r="H413" s="23">
        <v>400</v>
      </c>
      <c r="I413" s="6">
        <v>700</v>
      </c>
      <c r="J413" s="1" t="s">
        <v>163</v>
      </c>
      <c r="K413" s="6">
        <v>700</v>
      </c>
      <c r="L413" s="1" t="s">
        <v>975</v>
      </c>
      <c r="M413" s="70" t="str">
        <f>VLOOKUP(Table3[[#This Row],[Shop Name]],seller!A:A,1,0)</f>
        <v>RV Fashion</v>
      </c>
    </row>
    <row r="414" spans="1:13" ht="32" x14ac:dyDescent="0.2">
      <c r="A414" s="2">
        <v>413</v>
      </c>
      <c r="B414" s="2">
        <v>9</v>
      </c>
      <c r="C414" s="8" t="s">
        <v>46</v>
      </c>
      <c r="D414" s="2" t="s">
        <v>670</v>
      </c>
      <c r="E414" s="2" t="s">
        <v>642</v>
      </c>
      <c r="F414" s="2" t="s">
        <v>61</v>
      </c>
      <c r="G414" s="2" t="s">
        <v>54</v>
      </c>
      <c r="H414" s="23">
        <v>600</v>
      </c>
      <c r="I414" s="6">
        <v>1050</v>
      </c>
      <c r="J414" s="1" t="s">
        <v>163</v>
      </c>
      <c r="K414" s="6">
        <v>600</v>
      </c>
      <c r="L414" s="1" t="s">
        <v>609</v>
      </c>
      <c r="M414" s="70" t="str">
        <f>VLOOKUP(Table3[[#This Row],[Shop Name]],seller!A:A,1,0)</f>
        <v>RV Fashion</v>
      </c>
    </row>
    <row r="415" spans="1:13" ht="32" x14ac:dyDescent="0.2">
      <c r="A415" s="2">
        <v>414</v>
      </c>
      <c r="B415" s="2">
        <v>9</v>
      </c>
      <c r="C415" s="8" t="s">
        <v>46</v>
      </c>
      <c r="D415" s="2" t="s">
        <v>670</v>
      </c>
      <c r="E415" s="2" t="s">
        <v>642</v>
      </c>
      <c r="F415" s="2" t="s">
        <v>61</v>
      </c>
      <c r="G415" s="2" t="s">
        <v>56</v>
      </c>
      <c r="H415" s="23">
        <v>600</v>
      </c>
      <c r="I415" s="6">
        <v>1050</v>
      </c>
      <c r="J415" s="1" t="s">
        <v>127</v>
      </c>
      <c r="K415" s="6">
        <v>0</v>
      </c>
      <c r="M415" s="70" t="str">
        <f>VLOOKUP(Table3[[#This Row],[Shop Name]],seller!A:A,1,0)</f>
        <v>RV Fashion</v>
      </c>
    </row>
    <row r="416" spans="1:13" ht="32" x14ac:dyDescent="0.2">
      <c r="A416" s="2">
        <v>415</v>
      </c>
      <c r="B416" s="2">
        <v>5</v>
      </c>
      <c r="C416" s="8" t="s">
        <v>46</v>
      </c>
      <c r="D416" s="2" t="s">
        <v>739</v>
      </c>
      <c r="E416" s="2" t="s">
        <v>378</v>
      </c>
      <c r="F416" s="2" t="s">
        <v>61</v>
      </c>
      <c r="G416" s="2" t="s">
        <v>54</v>
      </c>
      <c r="H416" s="23">
        <v>865</v>
      </c>
      <c r="I416" s="6">
        <v>1190</v>
      </c>
      <c r="J416" s="1" t="s">
        <v>127</v>
      </c>
      <c r="K416" s="6">
        <v>0</v>
      </c>
      <c r="M416" s="70" t="str">
        <f>VLOOKUP(Table3[[#This Row],[Shop Name]],seller!A:A,1,0)</f>
        <v>RV Fashion</v>
      </c>
    </row>
    <row r="417" spans="1:13" ht="32" x14ac:dyDescent="0.2">
      <c r="A417" s="2">
        <v>416</v>
      </c>
      <c r="B417" s="2">
        <v>5</v>
      </c>
      <c r="C417" s="8" t="s">
        <v>46</v>
      </c>
      <c r="D417" s="2" t="s">
        <v>739</v>
      </c>
      <c r="E417" s="2" t="s">
        <v>378</v>
      </c>
      <c r="F417" s="2" t="s">
        <v>61</v>
      </c>
      <c r="G417" s="2" t="s">
        <v>56</v>
      </c>
      <c r="H417" s="23">
        <v>865</v>
      </c>
      <c r="I417" s="6">
        <v>1190</v>
      </c>
      <c r="J417" s="1" t="s">
        <v>127</v>
      </c>
      <c r="K417" s="6">
        <v>0</v>
      </c>
      <c r="M417" s="70" t="str">
        <f>VLOOKUP(Table3[[#This Row],[Shop Name]],seller!A:A,1,0)</f>
        <v>RV Fashion</v>
      </c>
    </row>
    <row r="418" spans="1:13" ht="32" x14ac:dyDescent="0.2">
      <c r="A418" s="2">
        <v>417</v>
      </c>
      <c r="B418" s="2" t="s">
        <v>719</v>
      </c>
      <c r="C418" s="8" t="s">
        <v>46</v>
      </c>
      <c r="D418" s="2" t="s">
        <v>723</v>
      </c>
      <c r="E418" s="2" t="s">
        <v>643</v>
      </c>
      <c r="F418" s="2" t="s">
        <v>61</v>
      </c>
      <c r="G418" s="2" t="s">
        <v>285</v>
      </c>
      <c r="H418" s="23">
        <v>365</v>
      </c>
      <c r="I418" s="6">
        <v>699</v>
      </c>
      <c r="J418" s="1" t="s">
        <v>163</v>
      </c>
      <c r="K418" s="6">
        <v>649</v>
      </c>
      <c r="L418" s="1" t="s">
        <v>721</v>
      </c>
      <c r="M418" s="70" t="str">
        <f>VLOOKUP(Table3[[#This Row],[Shop Name]],seller!A:A,1,0)</f>
        <v>RV Fashion</v>
      </c>
    </row>
    <row r="419" spans="1:13" ht="32" x14ac:dyDescent="0.2">
      <c r="A419" s="2">
        <v>418</v>
      </c>
      <c r="B419" s="2" t="s">
        <v>784</v>
      </c>
      <c r="C419" s="8" t="s">
        <v>46</v>
      </c>
      <c r="D419" s="2" t="s">
        <v>723</v>
      </c>
      <c r="E419" s="2" t="s">
        <v>786</v>
      </c>
      <c r="F419" s="2" t="s">
        <v>61</v>
      </c>
      <c r="G419" s="2" t="s">
        <v>341</v>
      </c>
      <c r="H419" s="23">
        <v>365</v>
      </c>
      <c r="I419" s="6">
        <v>699</v>
      </c>
      <c r="J419" s="1" t="s">
        <v>163</v>
      </c>
      <c r="K419" s="6">
        <v>699</v>
      </c>
      <c r="L419" s="1" t="s">
        <v>787</v>
      </c>
      <c r="M419" s="70" t="str">
        <f>VLOOKUP(Table3[[#This Row],[Shop Name]],seller!A:A,1,0)</f>
        <v>RV Fashion</v>
      </c>
    </row>
    <row r="420" spans="1:13" ht="32" x14ac:dyDescent="0.2">
      <c r="A420" s="2">
        <v>419</v>
      </c>
      <c r="B420" s="2">
        <v>10</v>
      </c>
      <c r="C420" s="2" t="s">
        <v>58</v>
      </c>
      <c r="D420" s="2" t="s">
        <v>671</v>
      </c>
      <c r="E420" s="2" t="s">
        <v>60</v>
      </c>
      <c r="F420" s="2" t="s">
        <v>61</v>
      </c>
      <c r="G420" s="2" t="s">
        <v>44</v>
      </c>
      <c r="H420" s="23">
        <v>690</v>
      </c>
      <c r="I420" s="6">
        <v>1050</v>
      </c>
      <c r="J420" s="1" t="s">
        <v>127</v>
      </c>
      <c r="K420" s="6">
        <v>0</v>
      </c>
      <c r="M420" s="70" t="str">
        <f>VLOOKUP(Table3[[#This Row],[Shop Name]],seller!A:A,1,0)</f>
        <v>RV Fashion</v>
      </c>
    </row>
    <row r="421" spans="1:13" ht="32" x14ac:dyDescent="0.2">
      <c r="A421" s="2">
        <v>420</v>
      </c>
      <c r="B421" s="2">
        <v>10</v>
      </c>
      <c r="C421" s="2" t="s">
        <v>58</v>
      </c>
      <c r="D421" s="2" t="s">
        <v>671</v>
      </c>
      <c r="E421" s="2" t="s">
        <v>60</v>
      </c>
      <c r="F421" s="2" t="s">
        <v>61</v>
      </c>
      <c r="G421" s="2" t="s">
        <v>54</v>
      </c>
      <c r="H421" s="23">
        <v>690</v>
      </c>
      <c r="I421" s="6">
        <v>1050</v>
      </c>
      <c r="J421" s="1" t="s">
        <v>127</v>
      </c>
      <c r="K421" s="6">
        <v>0</v>
      </c>
      <c r="M421" s="70" t="str">
        <f>VLOOKUP(Table3[[#This Row],[Shop Name]],seller!A:A,1,0)</f>
        <v>RV Fashion</v>
      </c>
    </row>
    <row r="422" spans="1:13" ht="32" x14ac:dyDescent="0.2">
      <c r="A422" s="2">
        <v>422</v>
      </c>
      <c r="B422" s="2" t="s">
        <v>784</v>
      </c>
      <c r="C422" s="2" t="s">
        <v>662</v>
      </c>
      <c r="D422" s="2" t="s">
        <v>663</v>
      </c>
      <c r="E422" s="2" t="s">
        <v>768</v>
      </c>
      <c r="F422" s="2" t="s">
        <v>75</v>
      </c>
      <c r="G422" s="2" t="s">
        <v>49</v>
      </c>
      <c r="H422" s="23">
        <v>905</v>
      </c>
      <c r="I422" s="6">
        <v>1250</v>
      </c>
      <c r="J422" s="1" t="s">
        <v>163</v>
      </c>
      <c r="K422" s="6">
        <v>1200</v>
      </c>
      <c r="L422" s="1" t="s">
        <v>796</v>
      </c>
      <c r="M422" s="70" t="str">
        <f>VLOOKUP(Table3[[#This Row],[Shop Name]],seller!A:A,1,0)</f>
        <v>Rudra Fashion</v>
      </c>
    </row>
    <row r="423" spans="1:13" ht="32" x14ac:dyDescent="0.2">
      <c r="A423" s="2">
        <v>423</v>
      </c>
      <c r="B423" s="2" t="s">
        <v>885</v>
      </c>
      <c r="C423" s="2" t="s">
        <v>662</v>
      </c>
      <c r="D423" s="2" t="s">
        <v>663</v>
      </c>
      <c r="E423" s="2" t="s">
        <v>768</v>
      </c>
      <c r="F423" s="2" t="s">
        <v>75</v>
      </c>
      <c r="G423" s="2" t="s">
        <v>49</v>
      </c>
      <c r="H423" s="23">
        <v>905</v>
      </c>
      <c r="I423" s="6">
        <v>1250</v>
      </c>
      <c r="J423" s="1" t="s">
        <v>163</v>
      </c>
      <c r="K423" s="6">
        <v>1150</v>
      </c>
      <c r="L423" s="24" t="s">
        <v>959</v>
      </c>
      <c r="M423" s="70" t="str">
        <f>VLOOKUP(Table3[[#This Row],[Shop Name]],seller!A:A,1,0)</f>
        <v>Rudra Fashion</v>
      </c>
    </row>
    <row r="424" spans="1:13" ht="32" x14ac:dyDescent="0.2">
      <c r="A424" s="2">
        <v>424</v>
      </c>
      <c r="B424" s="2">
        <v>2</v>
      </c>
      <c r="C424" s="2" t="s">
        <v>662</v>
      </c>
      <c r="D424" s="2" t="s">
        <v>664</v>
      </c>
      <c r="E424" s="2" t="s">
        <v>768</v>
      </c>
      <c r="F424" s="2" t="s">
        <v>75</v>
      </c>
      <c r="G424" s="2" t="s">
        <v>49</v>
      </c>
      <c r="H424" s="23">
        <v>905</v>
      </c>
      <c r="I424" s="6">
        <v>1250</v>
      </c>
      <c r="J424" s="1" t="s">
        <v>163</v>
      </c>
      <c r="K424" s="6">
        <v>905</v>
      </c>
      <c r="L424" s="1" t="s">
        <v>609</v>
      </c>
      <c r="M424" s="70" t="str">
        <f>VLOOKUP(Table3[[#This Row],[Shop Name]],seller!A:A,1,0)</f>
        <v>Rudra Fashion</v>
      </c>
    </row>
    <row r="425" spans="1:13" ht="32" x14ac:dyDescent="0.2">
      <c r="A425" s="2">
        <v>425</v>
      </c>
      <c r="B425" s="2">
        <v>2</v>
      </c>
      <c r="C425" s="2" t="s">
        <v>662</v>
      </c>
      <c r="D425" s="2" t="s">
        <v>664</v>
      </c>
      <c r="E425" s="2" t="s">
        <v>768</v>
      </c>
      <c r="F425" s="2" t="s">
        <v>75</v>
      </c>
      <c r="G425" s="2" t="s">
        <v>44</v>
      </c>
      <c r="H425" s="23">
        <v>905</v>
      </c>
      <c r="I425" s="6">
        <v>1250</v>
      </c>
      <c r="J425" s="1" t="s">
        <v>163</v>
      </c>
      <c r="K425" s="6">
        <v>1200</v>
      </c>
      <c r="L425" s="1" t="s">
        <v>802</v>
      </c>
      <c r="M425" s="70" t="str">
        <f>VLOOKUP(Table3[[#This Row],[Shop Name]],seller!A:A,1,0)</f>
        <v>Rudra Fashion</v>
      </c>
    </row>
    <row r="426" spans="1:13" ht="32" x14ac:dyDescent="0.2">
      <c r="A426" s="2">
        <v>426</v>
      </c>
      <c r="B426" s="2" t="s">
        <v>872</v>
      </c>
      <c r="C426" s="2" t="s">
        <v>662</v>
      </c>
      <c r="D426" s="2" t="s">
        <v>665</v>
      </c>
      <c r="E426" s="2" t="s">
        <v>768</v>
      </c>
      <c r="F426" s="2" t="s">
        <v>75</v>
      </c>
      <c r="G426" s="2" t="s">
        <v>54</v>
      </c>
      <c r="H426" s="23">
        <v>905</v>
      </c>
      <c r="I426" s="6">
        <v>1250</v>
      </c>
      <c r="J426" s="1" t="s">
        <v>163</v>
      </c>
      <c r="K426" s="6">
        <v>1100</v>
      </c>
      <c r="L426" s="1" t="s">
        <v>189</v>
      </c>
      <c r="M426" s="70" t="str">
        <f>VLOOKUP(Table3[[#This Row],[Shop Name]],seller!A:A,1,0)</f>
        <v>Rudra Fashion</v>
      </c>
    </row>
    <row r="427" spans="1:13" x14ac:dyDescent="0.2">
      <c r="A427" s="2">
        <v>427</v>
      </c>
      <c r="B427" s="2" t="s">
        <v>687</v>
      </c>
      <c r="C427" s="2" t="s">
        <v>280</v>
      </c>
      <c r="D427" s="2" t="s">
        <v>668</v>
      </c>
      <c r="E427" s="2" t="s">
        <v>7</v>
      </c>
      <c r="F427" s="2" t="s">
        <v>75</v>
      </c>
      <c r="G427" s="2" t="s">
        <v>49</v>
      </c>
      <c r="H427" s="23">
        <v>795</v>
      </c>
      <c r="I427" s="6">
        <v>1150</v>
      </c>
      <c r="J427" s="1" t="s">
        <v>163</v>
      </c>
      <c r="K427" s="6">
        <v>1050</v>
      </c>
      <c r="L427" s="1" t="s">
        <v>694</v>
      </c>
      <c r="M427" s="70" t="str">
        <f>VLOOKUP(Table3[[#This Row],[Shop Name]],seller!A:A,1,0)</f>
        <v>Rudra Fashion</v>
      </c>
    </row>
    <row r="428" spans="1:13" x14ac:dyDescent="0.2">
      <c r="A428" s="2">
        <v>428</v>
      </c>
      <c r="B428" s="2">
        <v>12</v>
      </c>
      <c r="C428" s="2" t="s">
        <v>43</v>
      </c>
      <c r="D428" s="2" t="s">
        <v>667</v>
      </c>
      <c r="E428" s="2" t="s">
        <v>7</v>
      </c>
      <c r="F428" s="2" t="s">
        <v>75</v>
      </c>
      <c r="G428" s="2" t="s">
        <v>48</v>
      </c>
      <c r="H428" s="23">
        <v>915</v>
      </c>
      <c r="I428" s="6">
        <v>1250</v>
      </c>
      <c r="J428" s="1" t="s">
        <v>163</v>
      </c>
      <c r="K428" s="6">
        <v>1180</v>
      </c>
      <c r="L428" s="1" t="s">
        <v>703</v>
      </c>
      <c r="M428" s="70" t="str">
        <f>VLOOKUP(Table3[[#This Row],[Shop Name]],seller!A:A,1,0)</f>
        <v>Rudra Fashion</v>
      </c>
    </row>
    <row r="429" spans="1:13" ht="32" x14ac:dyDescent="0.2">
      <c r="A429" s="2">
        <v>429</v>
      </c>
      <c r="B429" s="2" t="s">
        <v>872</v>
      </c>
      <c r="C429" s="2" t="s">
        <v>46</v>
      </c>
      <c r="D429" s="2" t="s">
        <v>669</v>
      </c>
      <c r="E429" s="2" t="s">
        <v>642</v>
      </c>
      <c r="F429" s="2" t="s">
        <v>75</v>
      </c>
      <c r="G429" s="2" t="s">
        <v>56</v>
      </c>
      <c r="H429" s="23">
        <v>695</v>
      </c>
      <c r="I429" s="6">
        <v>1050</v>
      </c>
      <c r="J429" s="1" t="s">
        <v>163</v>
      </c>
      <c r="K429" s="6">
        <v>950</v>
      </c>
      <c r="L429" s="1" t="s">
        <v>881</v>
      </c>
      <c r="M429" s="70" t="str">
        <f>VLOOKUP(Table3[[#This Row],[Shop Name]],seller!A:A,1,0)</f>
        <v>Rudra Fashion</v>
      </c>
    </row>
    <row r="430" spans="1:13" ht="32" x14ac:dyDescent="0.2">
      <c r="A430" s="2">
        <v>430</v>
      </c>
      <c r="B430" s="2">
        <v>8</v>
      </c>
      <c r="C430" s="2" t="s">
        <v>46</v>
      </c>
      <c r="D430" s="2" t="s">
        <v>672</v>
      </c>
      <c r="E430" s="2" t="s">
        <v>264</v>
      </c>
      <c r="F430" s="2" t="s">
        <v>75</v>
      </c>
      <c r="G430" s="2" t="s">
        <v>48</v>
      </c>
      <c r="H430" s="23">
        <v>805</v>
      </c>
      <c r="I430" s="6">
        <v>1150</v>
      </c>
      <c r="J430" s="1" t="s">
        <v>127</v>
      </c>
      <c r="K430" s="6">
        <v>0</v>
      </c>
      <c r="M430" s="70" t="str">
        <f>VLOOKUP(Table3[[#This Row],[Shop Name]],seller!A:A,1,0)</f>
        <v>Rudra Fashion</v>
      </c>
    </row>
    <row r="431" spans="1:13" ht="32" x14ac:dyDescent="0.2">
      <c r="A431" s="2">
        <v>431</v>
      </c>
      <c r="B431" s="2" t="s">
        <v>885</v>
      </c>
      <c r="C431" s="2" t="s">
        <v>46</v>
      </c>
      <c r="D431" s="2" t="s">
        <v>673</v>
      </c>
      <c r="E431" s="2" t="s">
        <v>378</v>
      </c>
      <c r="F431" s="2" t="s">
        <v>75</v>
      </c>
      <c r="G431" s="2" t="s">
        <v>285</v>
      </c>
      <c r="H431" s="23">
        <v>695</v>
      </c>
      <c r="I431" s="6">
        <v>1050</v>
      </c>
      <c r="J431" s="1" t="s">
        <v>163</v>
      </c>
      <c r="K431" s="6">
        <v>1000</v>
      </c>
      <c r="L431" s="24" t="s">
        <v>913</v>
      </c>
      <c r="M431" s="70" t="str">
        <f>VLOOKUP(Table3[[#This Row],[Shop Name]],seller!A:A,1,0)</f>
        <v>Rudra Fashion</v>
      </c>
    </row>
    <row r="432" spans="1:13" ht="32" x14ac:dyDescent="0.2">
      <c r="A432" s="2">
        <v>432</v>
      </c>
      <c r="B432" s="2" t="s">
        <v>687</v>
      </c>
      <c r="C432" s="2" t="s">
        <v>46</v>
      </c>
      <c r="D432" s="2" t="s">
        <v>674</v>
      </c>
      <c r="E432" s="2" t="s">
        <v>378</v>
      </c>
      <c r="F432" s="2" t="s">
        <v>75</v>
      </c>
      <c r="G432" s="2" t="s">
        <v>285</v>
      </c>
      <c r="H432" s="23">
        <v>705</v>
      </c>
      <c r="I432" s="6">
        <v>1050</v>
      </c>
      <c r="J432" s="1" t="s">
        <v>163</v>
      </c>
      <c r="K432" s="6">
        <v>950</v>
      </c>
      <c r="L432" s="1" t="s">
        <v>696</v>
      </c>
      <c r="M432" s="70" t="str">
        <f>VLOOKUP(Table3[[#This Row],[Shop Name]],seller!A:A,1,0)</f>
        <v>Rudra Fashion</v>
      </c>
    </row>
    <row r="433" spans="1:13" ht="32" x14ac:dyDescent="0.2">
      <c r="A433" s="2">
        <v>433</v>
      </c>
      <c r="B433" s="2" t="s">
        <v>885</v>
      </c>
      <c r="C433" s="2" t="s">
        <v>46</v>
      </c>
      <c r="D433" s="2" t="s">
        <v>674</v>
      </c>
      <c r="E433" s="2" t="s">
        <v>378</v>
      </c>
      <c r="F433" s="2" t="s">
        <v>75</v>
      </c>
      <c r="G433" s="2" t="s">
        <v>341</v>
      </c>
      <c r="H433" s="23">
        <v>705</v>
      </c>
      <c r="I433" s="6">
        <v>1050</v>
      </c>
      <c r="J433" s="1" t="s">
        <v>163</v>
      </c>
      <c r="K433" s="6">
        <v>1050</v>
      </c>
      <c r="L433" s="24" t="s">
        <v>891</v>
      </c>
      <c r="M433" s="70" t="str">
        <f>VLOOKUP(Table3[[#This Row],[Shop Name]],seller!A:A,1,0)</f>
        <v>Rudra Fashion</v>
      </c>
    </row>
    <row r="434" spans="1:13" x14ac:dyDescent="0.2">
      <c r="A434" s="2">
        <v>434</v>
      </c>
      <c r="B434" s="2">
        <v>14</v>
      </c>
      <c r="C434" s="2" t="s">
        <v>634</v>
      </c>
      <c r="D434" s="2" t="s">
        <v>675</v>
      </c>
      <c r="E434" s="2" t="s">
        <v>252</v>
      </c>
      <c r="F434" s="2" t="s">
        <v>75</v>
      </c>
      <c r="G434" s="2" t="s">
        <v>54</v>
      </c>
      <c r="H434" s="23">
        <v>995</v>
      </c>
      <c r="I434" s="6">
        <v>1340</v>
      </c>
      <c r="J434" s="1" t="s">
        <v>127</v>
      </c>
      <c r="K434" s="6">
        <v>0</v>
      </c>
      <c r="M434" s="70" t="str">
        <f>VLOOKUP(Table3[[#This Row],[Shop Name]],seller!A:A,1,0)</f>
        <v>Rudra Fashion</v>
      </c>
    </row>
    <row r="435" spans="1:13" x14ac:dyDescent="0.2">
      <c r="A435" s="2">
        <v>435</v>
      </c>
      <c r="B435" s="2">
        <v>15</v>
      </c>
      <c r="C435" s="2" t="s">
        <v>634</v>
      </c>
      <c r="D435" s="2" t="s">
        <v>676</v>
      </c>
      <c r="E435" s="2" t="s">
        <v>252</v>
      </c>
      <c r="F435" s="2" t="s">
        <v>75</v>
      </c>
      <c r="G435" s="2" t="s">
        <v>49</v>
      </c>
      <c r="H435" s="23">
        <v>925</v>
      </c>
      <c r="I435" s="6">
        <v>1299</v>
      </c>
      <c r="J435" s="1" t="s">
        <v>127</v>
      </c>
      <c r="K435" s="6">
        <v>0</v>
      </c>
      <c r="M435" s="70" t="str">
        <f>VLOOKUP(Table3[[#This Row],[Shop Name]],seller!A:A,1,0)</f>
        <v>Rudra Fashion</v>
      </c>
    </row>
    <row r="436" spans="1:13" ht="32" x14ac:dyDescent="0.2">
      <c r="A436" s="2">
        <v>436</v>
      </c>
      <c r="B436" s="2" t="s">
        <v>885</v>
      </c>
      <c r="C436" s="2" t="s">
        <v>46</v>
      </c>
      <c r="D436" s="2" t="s">
        <v>677</v>
      </c>
      <c r="E436" s="2" t="s">
        <v>378</v>
      </c>
      <c r="F436" s="2" t="s">
        <v>75</v>
      </c>
      <c r="G436" s="2" t="s">
        <v>285</v>
      </c>
      <c r="H436" s="23">
        <v>695</v>
      </c>
      <c r="I436" s="6">
        <v>1050</v>
      </c>
      <c r="J436" s="1" t="s">
        <v>163</v>
      </c>
      <c r="K436" s="6">
        <v>950</v>
      </c>
      <c r="L436" s="24" t="s">
        <v>921</v>
      </c>
      <c r="M436" s="70" t="str">
        <f>VLOOKUP(Table3[[#This Row],[Shop Name]],seller!A:A,1,0)</f>
        <v>Rudra Fashion</v>
      </c>
    </row>
    <row r="437" spans="1:13" x14ac:dyDescent="0.2">
      <c r="A437" s="2">
        <v>437</v>
      </c>
      <c r="B437" s="2" t="s">
        <v>719</v>
      </c>
      <c r="C437" s="2" t="s">
        <v>43</v>
      </c>
      <c r="D437" s="2" t="s">
        <v>678</v>
      </c>
      <c r="E437" s="2" t="s">
        <v>7</v>
      </c>
      <c r="F437" s="2" t="s">
        <v>75</v>
      </c>
      <c r="G437" s="2" t="s">
        <v>49</v>
      </c>
      <c r="H437" s="23">
        <v>565</v>
      </c>
      <c r="I437" s="6">
        <v>850</v>
      </c>
      <c r="J437" s="1" t="s">
        <v>163</v>
      </c>
      <c r="K437" s="6">
        <v>800</v>
      </c>
      <c r="L437" s="1" t="s">
        <v>732</v>
      </c>
      <c r="M437" s="70" t="str">
        <f>VLOOKUP(Table3[[#This Row],[Shop Name]],seller!A:A,1,0)</f>
        <v>Rudra Fashion</v>
      </c>
    </row>
    <row r="438" spans="1:13" ht="17" x14ac:dyDescent="0.2">
      <c r="A438" s="2">
        <v>438</v>
      </c>
      <c r="B438" s="2" t="s">
        <v>687</v>
      </c>
      <c r="C438" s="8" t="s">
        <v>280</v>
      </c>
      <c r="D438" s="8" t="s">
        <v>679</v>
      </c>
      <c r="E438" s="8" t="s">
        <v>642</v>
      </c>
      <c r="F438" s="8" t="s">
        <v>75</v>
      </c>
      <c r="G438" s="8" t="s">
        <v>54</v>
      </c>
      <c r="H438" s="42">
        <v>995</v>
      </c>
      <c r="I438" s="9">
        <v>1499</v>
      </c>
      <c r="J438" s="39" t="s">
        <v>163</v>
      </c>
      <c r="K438" s="9">
        <v>1360</v>
      </c>
      <c r="L438" s="39" t="s">
        <v>695</v>
      </c>
      <c r="M438" s="70" t="str">
        <f>VLOOKUP(Table3[[#This Row],[Shop Name]],seller!A:A,1,0)</f>
        <v>Rudra Fashion</v>
      </c>
    </row>
    <row r="439" spans="1:13" ht="17" x14ac:dyDescent="0.2">
      <c r="A439" s="2">
        <v>439</v>
      </c>
      <c r="B439" s="8" t="s">
        <v>872</v>
      </c>
      <c r="C439" s="8" t="s">
        <v>280</v>
      </c>
      <c r="D439" s="8" t="s">
        <v>685</v>
      </c>
      <c r="E439" s="8" t="s">
        <v>642</v>
      </c>
      <c r="F439" s="8" t="s">
        <v>75</v>
      </c>
      <c r="G439" s="8" t="s">
        <v>54</v>
      </c>
      <c r="H439" s="42">
        <v>995</v>
      </c>
      <c r="I439" s="9">
        <v>1499</v>
      </c>
      <c r="J439" s="39" t="s">
        <v>163</v>
      </c>
      <c r="K439" s="9">
        <v>1400</v>
      </c>
      <c r="L439" s="39" t="s">
        <v>882</v>
      </c>
      <c r="M439" s="70" t="str">
        <f>VLOOKUP(Table3[[#This Row],[Shop Name]],seller!A:A,1,0)</f>
        <v>Rudra Fashion</v>
      </c>
    </row>
    <row r="440" spans="1:13" x14ac:dyDescent="0.2">
      <c r="A440" s="2">
        <v>440</v>
      </c>
      <c r="B440" s="2">
        <v>10</v>
      </c>
      <c r="C440" s="2" t="s">
        <v>55</v>
      </c>
      <c r="D440" s="2" t="s">
        <v>680</v>
      </c>
      <c r="E440" s="2" t="s">
        <v>7</v>
      </c>
      <c r="F440" s="2" t="s">
        <v>75</v>
      </c>
      <c r="G440" s="2" t="s">
        <v>54</v>
      </c>
      <c r="H440" s="23">
        <v>345</v>
      </c>
      <c r="I440" s="6">
        <v>599</v>
      </c>
      <c r="J440" s="1" t="s">
        <v>127</v>
      </c>
      <c r="K440" s="6">
        <v>0</v>
      </c>
      <c r="M440" s="70" t="str">
        <f>VLOOKUP(Table3[[#This Row],[Shop Name]],seller!A:A,1,0)</f>
        <v>Rudra Fashion</v>
      </c>
    </row>
    <row r="441" spans="1:13" x14ac:dyDescent="0.2">
      <c r="A441" s="2">
        <v>441</v>
      </c>
      <c r="B441" s="2">
        <v>9</v>
      </c>
      <c r="C441" s="2" t="s">
        <v>55</v>
      </c>
      <c r="D441" s="2" t="s">
        <v>681</v>
      </c>
      <c r="E441" s="2" t="s">
        <v>7</v>
      </c>
      <c r="F441" s="2" t="s">
        <v>75</v>
      </c>
      <c r="G441" s="2" t="s">
        <v>54</v>
      </c>
      <c r="H441" s="23">
        <v>465</v>
      </c>
      <c r="I441" s="6">
        <v>699</v>
      </c>
      <c r="J441" s="1" t="s">
        <v>127</v>
      </c>
      <c r="K441" s="6">
        <v>0</v>
      </c>
      <c r="M441" s="70" t="str">
        <f>VLOOKUP(Table3[[#This Row],[Shop Name]],seller!A:A,1,0)</f>
        <v>Rudra Fashion</v>
      </c>
    </row>
    <row r="442" spans="1:13" ht="32" x14ac:dyDescent="0.2">
      <c r="A442" s="2">
        <v>442</v>
      </c>
      <c r="B442" s="2" t="s">
        <v>687</v>
      </c>
      <c r="C442" s="2" t="s">
        <v>46</v>
      </c>
      <c r="D442" s="2" t="s">
        <v>682</v>
      </c>
      <c r="E442" s="2" t="s">
        <v>378</v>
      </c>
      <c r="F442" s="2" t="s">
        <v>75</v>
      </c>
      <c r="G442" s="2" t="s">
        <v>347</v>
      </c>
      <c r="H442" s="23">
        <v>895</v>
      </c>
      <c r="I442" s="6">
        <v>1250</v>
      </c>
      <c r="J442" s="1" t="s">
        <v>163</v>
      </c>
      <c r="K442" s="6">
        <v>1150</v>
      </c>
      <c r="L442" s="1" t="s">
        <v>696</v>
      </c>
      <c r="M442" s="70" t="str">
        <f>VLOOKUP(Table3[[#This Row],[Shop Name]],seller!A:A,1,0)</f>
        <v>Rudra Fashion</v>
      </c>
    </row>
    <row r="443" spans="1:13" ht="32" x14ac:dyDescent="0.2">
      <c r="A443" s="2">
        <v>443</v>
      </c>
      <c r="B443" s="2" t="s">
        <v>719</v>
      </c>
      <c r="C443" s="2" t="s">
        <v>46</v>
      </c>
      <c r="D443" s="2" t="s">
        <v>682</v>
      </c>
      <c r="E443" s="2" t="s">
        <v>378</v>
      </c>
      <c r="F443" s="2" t="s">
        <v>75</v>
      </c>
      <c r="G443" s="2" t="s">
        <v>285</v>
      </c>
      <c r="H443" s="23">
        <v>895</v>
      </c>
      <c r="I443" s="6">
        <v>1250</v>
      </c>
      <c r="J443" s="1" t="s">
        <v>163</v>
      </c>
      <c r="K443" s="6">
        <v>1200</v>
      </c>
      <c r="L443" s="1" t="s">
        <v>721</v>
      </c>
      <c r="M443" s="70" t="str">
        <f>VLOOKUP(Table3[[#This Row],[Shop Name]],seller!A:A,1,0)</f>
        <v>Rudra Fashion</v>
      </c>
    </row>
    <row r="444" spans="1:13" ht="32" x14ac:dyDescent="0.2">
      <c r="A444" s="2">
        <v>444</v>
      </c>
      <c r="B444" s="2" t="s">
        <v>784</v>
      </c>
      <c r="C444" s="2" t="s">
        <v>46</v>
      </c>
      <c r="D444" s="2" t="s">
        <v>746</v>
      </c>
      <c r="E444" s="2" t="s">
        <v>378</v>
      </c>
      <c r="F444" s="2" t="s">
        <v>75</v>
      </c>
      <c r="G444" s="2" t="s">
        <v>285</v>
      </c>
      <c r="H444" s="23">
        <v>895</v>
      </c>
      <c r="I444" s="6">
        <v>1250</v>
      </c>
      <c r="J444" s="1" t="s">
        <v>163</v>
      </c>
      <c r="K444" s="6">
        <v>1175</v>
      </c>
      <c r="L444" s="1" t="s">
        <v>790</v>
      </c>
      <c r="M444" s="70" t="str">
        <f>VLOOKUP(Table3[[#This Row],[Shop Name]],seller!A:A,1,0)</f>
        <v>Rudra Fashion</v>
      </c>
    </row>
    <row r="445" spans="1:13" ht="32" x14ac:dyDescent="0.2">
      <c r="A445" s="2">
        <v>445</v>
      </c>
      <c r="B445" s="2" t="s">
        <v>719</v>
      </c>
      <c r="C445" s="2" t="s">
        <v>46</v>
      </c>
      <c r="D445" s="2" t="s">
        <v>746</v>
      </c>
      <c r="E445" s="2" t="s">
        <v>378</v>
      </c>
      <c r="F445" s="2" t="s">
        <v>75</v>
      </c>
      <c r="G445" s="2" t="s">
        <v>684</v>
      </c>
      <c r="H445" s="23">
        <v>895</v>
      </c>
      <c r="I445" s="6">
        <v>1250</v>
      </c>
      <c r="J445" s="1" t="s">
        <v>163</v>
      </c>
      <c r="K445" s="6">
        <v>1185</v>
      </c>
      <c r="L445" s="1" t="s">
        <v>718</v>
      </c>
      <c r="M445" s="70" t="str">
        <f>VLOOKUP(Table3[[#This Row],[Shop Name]],seller!A:A,1,0)</f>
        <v>Rudra Fashion</v>
      </c>
    </row>
    <row r="446" spans="1:13" ht="32" x14ac:dyDescent="0.2">
      <c r="A446" s="2">
        <v>446</v>
      </c>
      <c r="B446" s="2" t="s">
        <v>954</v>
      </c>
      <c r="C446" s="2" t="s">
        <v>46</v>
      </c>
      <c r="D446" s="2" t="s">
        <v>683</v>
      </c>
      <c r="E446" s="2" t="s">
        <v>378</v>
      </c>
      <c r="F446" s="2" t="s">
        <v>75</v>
      </c>
      <c r="G446" s="2" t="s">
        <v>341</v>
      </c>
      <c r="H446" s="23">
        <v>895</v>
      </c>
      <c r="I446" s="6">
        <v>1250</v>
      </c>
      <c r="J446" s="1" t="s">
        <v>163</v>
      </c>
      <c r="K446" s="6">
        <v>1200</v>
      </c>
      <c r="L446" s="1" t="s">
        <v>979</v>
      </c>
      <c r="M446" s="70" t="str">
        <f>VLOOKUP(Table3[[#This Row],[Shop Name]],seller!A:A,1,0)</f>
        <v>Rudra Fashion</v>
      </c>
    </row>
    <row r="447" spans="1:13" ht="32" x14ac:dyDescent="0.2">
      <c r="A447" s="2">
        <v>447</v>
      </c>
      <c r="B447" s="2" t="s">
        <v>719</v>
      </c>
      <c r="C447" s="2" t="s">
        <v>46</v>
      </c>
      <c r="D447" s="2" t="s">
        <v>682</v>
      </c>
      <c r="E447" s="2" t="s">
        <v>378</v>
      </c>
      <c r="F447" s="2" t="s">
        <v>75</v>
      </c>
      <c r="G447" s="2" t="s">
        <v>285</v>
      </c>
      <c r="H447" s="23">
        <v>895</v>
      </c>
      <c r="I447" s="6">
        <v>1250</v>
      </c>
      <c r="J447" s="1" t="s">
        <v>163</v>
      </c>
      <c r="K447" s="6">
        <v>1200</v>
      </c>
      <c r="L447" s="1" t="s">
        <v>721</v>
      </c>
      <c r="M447" s="70" t="str">
        <f>VLOOKUP(Table3[[#This Row],[Shop Name]],seller!A:A,1,0)</f>
        <v>Rudra Fashion</v>
      </c>
    </row>
    <row r="448" spans="1:13" ht="32" x14ac:dyDescent="0.2">
      <c r="A448" s="2">
        <v>448</v>
      </c>
      <c r="B448" s="2" t="s">
        <v>885</v>
      </c>
      <c r="C448" s="2" t="s">
        <v>43</v>
      </c>
      <c r="D448" s="2" t="s">
        <v>706</v>
      </c>
      <c r="E448" s="2" t="s">
        <v>7</v>
      </c>
      <c r="F448" s="2" t="s">
        <v>75</v>
      </c>
      <c r="G448" s="2" t="s">
        <v>48</v>
      </c>
      <c r="H448" s="23">
        <v>695</v>
      </c>
      <c r="I448" s="6">
        <v>1050</v>
      </c>
      <c r="J448" s="1" t="s">
        <v>163</v>
      </c>
      <c r="K448" s="6">
        <v>1000</v>
      </c>
      <c r="L448" s="24" t="s">
        <v>889</v>
      </c>
      <c r="M448" s="70" t="str">
        <f>VLOOKUP(Table3[[#This Row],[Shop Name]],seller!A:A,1,0)</f>
        <v>Rudra Fashion</v>
      </c>
    </row>
    <row r="449" spans="1:13" ht="32" x14ac:dyDescent="0.2">
      <c r="A449" s="2">
        <v>449</v>
      </c>
      <c r="B449" s="2" t="s">
        <v>719</v>
      </c>
      <c r="C449" s="2" t="s">
        <v>46</v>
      </c>
      <c r="D449" s="2" t="s">
        <v>707</v>
      </c>
      <c r="E449" s="22" t="s">
        <v>7</v>
      </c>
      <c r="F449" s="22" t="s">
        <v>75</v>
      </c>
      <c r="G449" s="2" t="s">
        <v>54</v>
      </c>
      <c r="H449" s="23">
        <v>585</v>
      </c>
      <c r="I449" s="6">
        <v>950</v>
      </c>
      <c r="J449" s="1" t="s">
        <v>163</v>
      </c>
      <c r="K449" s="6">
        <v>900</v>
      </c>
      <c r="L449" s="1" t="s">
        <v>727</v>
      </c>
      <c r="M449" s="70" t="str">
        <f>VLOOKUP(Table3[[#This Row],[Shop Name]],seller!A:A,1,0)</f>
        <v>Rudra Fashion</v>
      </c>
    </row>
    <row r="450" spans="1:13" ht="32" x14ac:dyDescent="0.2">
      <c r="A450" s="2">
        <v>450</v>
      </c>
      <c r="B450" s="2">
        <v>5</v>
      </c>
      <c r="C450" s="2" t="s">
        <v>46</v>
      </c>
      <c r="D450" s="2" t="s">
        <v>791</v>
      </c>
      <c r="E450" s="2" t="s">
        <v>378</v>
      </c>
      <c r="F450" s="2" t="s">
        <v>75</v>
      </c>
      <c r="G450" s="2" t="s">
        <v>341</v>
      </c>
      <c r="H450" s="23">
        <v>595</v>
      </c>
      <c r="I450" s="6">
        <v>950</v>
      </c>
      <c r="J450" s="1" t="s">
        <v>163</v>
      </c>
      <c r="K450" s="6">
        <v>875</v>
      </c>
      <c r="L450" s="1" t="s">
        <v>803</v>
      </c>
      <c r="M450" s="70" t="str">
        <f>VLOOKUP(Table3[[#This Row],[Shop Name]],seller!A:A,1,0)</f>
        <v>Rudra Fashion</v>
      </c>
    </row>
    <row r="451" spans="1:13" ht="32" x14ac:dyDescent="0.2">
      <c r="A451" s="2">
        <v>451</v>
      </c>
      <c r="B451" s="2" t="s">
        <v>719</v>
      </c>
      <c r="C451" s="2" t="s">
        <v>46</v>
      </c>
      <c r="D451" s="2" t="s">
        <v>791</v>
      </c>
      <c r="E451" s="2" t="s">
        <v>378</v>
      </c>
      <c r="F451" s="2" t="s">
        <v>75</v>
      </c>
      <c r="G451" s="2" t="s">
        <v>285</v>
      </c>
      <c r="H451" s="23">
        <v>595</v>
      </c>
      <c r="I451" s="6">
        <v>950</v>
      </c>
      <c r="J451" s="1" t="s">
        <v>163</v>
      </c>
      <c r="K451" s="6">
        <v>900</v>
      </c>
      <c r="L451" s="1" t="s">
        <v>721</v>
      </c>
      <c r="M451" s="70" t="str">
        <f>VLOOKUP(Table3[[#This Row],[Shop Name]],seller!A:A,1,0)</f>
        <v>Rudra Fashion</v>
      </c>
    </row>
    <row r="452" spans="1:13" ht="32" x14ac:dyDescent="0.2">
      <c r="A452" s="2">
        <v>452</v>
      </c>
      <c r="B452" s="2">
        <v>4</v>
      </c>
      <c r="C452" s="2" t="s">
        <v>46</v>
      </c>
      <c r="D452" s="2" t="s">
        <v>740</v>
      </c>
      <c r="E452" s="2" t="s">
        <v>378</v>
      </c>
      <c r="F452" s="2" t="s">
        <v>75</v>
      </c>
      <c r="G452" s="2" t="s">
        <v>341</v>
      </c>
      <c r="H452" s="23">
        <v>595</v>
      </c>
      <c r="I452" s="6">
        <v>950</v>
      </c>
      <c r="J452" s="1" t="s">
        <v>163</v>
      </c>
      <c r="K452" s="6">
        <v>875</v>
      </c>
      <c r="L452" s="1" t="s">
        <v>696</v>
      </c>
      <c r="M452" s="70" t="str">
        <f>VLOOKUP(Table3[[#This Row],[Shop Name]],seller!A:A,1,0)</f>
        <v>Rudra Fashion</v>
      </c>
    </row>
    <row r="453" spans="1:13" ht="32" x14ac:dyDescent="0.2">
      <c r="A453" s="2">
        <v>453</v>
      </c>
      <c r="B453" s="2" t="s">
        <v>784</v>
      </c>
      <c r="C453" s="2" t="s">
        <v>46</v>
      </c>
      <c r="D453" s="2" t="s">
        <v>720</v>
      </c>
      <c r="E453" s="2" t="s">
        <v>378</v>
      </c>
      <c r="F453" s="2" t="s">
        <v>75</v>
      </c>
      <c r="G453" s="2" t="s">
        <v>285</v>
      </c>
      <c r="H453" s="23">
        <v>595</v>
      </c>
      <c r="I453" s="6">
        <v>950</v>
      </c>
      <c r="J453" s="1" t="s">
        <v>163</v>
      </c>
      <c r="K453" s="6">
        <v>875</v>
      </c>
      <c r="L453" s="1" t="s">
        <v>792</v>
      </c>
      <c r="M453" s="70" t="str">
        <f>VLOOKUP(Table3[[#This Row],[Shop Name]],seller!A:A,1,0)</f>
        <v>Rudra Fashion</v>
      </c>
    </row>
    <row r="454" spans="1:13" ht="32" x14ac:dyDescent="0.2">
      <c r="A454" s="2">
        <v>454</v>
      </c>
      <c r="B454" s="2" t="s">
        <v>784</v>
      </c>
      <c r="C454" s="2" t="s">
        <v>795</v>
      </c>
      <c r="D454" s="2" t="s">
        <v>709</v>
      </c>
      <c r="E454" s="2" t="s">
        <v>708</v>
      </c>
      <c r="F454" s="2" t="s">
        <v>566</v>
      </c>
      <c r="G454" s="2" t="s">
        <v>44</v>
      </c>
      <c r="H454" s="23">
        <v>800</v>
      </c>
      <c r="I454" s="6">
        <v>1150</v>
      </c>
      <c r="J454" s="1" t="s">
        <v>163</v>
      </c>
      <c r="K454" s="6">
        <v>1075</v>
      </c>
      <c r="L454" s="1" t="s">
        <v>794</v>
      </c>
      <c r="M454" s="70" t="str">
        <f>VLOOKUP(Table3[[#This Row],[Shop Name]],seller!A:A,1,0)</f>
        <v>Kaaruk Fashion</v>
      </c>
    </row>
    <row r="455" spans="1:13" x14ac:dyDescent="0.2">
      <c r="A455" s="2">
        <v>455</v>
      </c>
      <c r="B455" s="2">
        <v>1</v>
      </c>
      <c r="C455" s="2" t="s">
        <v>795</v>
      </c>
      <c r="D455" s="2" t="s">
        <v>709</v>
      </c>
      <c r="E455" s="2" t="s">
        <v>708</v>
      </c>
      <c r="F455" s="2" t="s">
        <v>566</v>
      </c>
      <c r="G455" s="2" t="s">
        <v>54</v>
      </c>
      <c r="H455" s="23">
        <v>800</v>
      </c>
      <c r="I455" s="6">
        <v>1150</v>
      </c>
      <c r="J455" s="1" t="s">
        <v>163</v>
      </c>
      <c r="K455" s="6">
        <v>1100</v>
      </c>
      <c r="L455" s="1" t="s">
        <v>214</v>
      </c>
      <c r="M455" s="70" t="str">
        <f>VLOOKUP(Table3[[#This Row],[Shop Name]],seller!A:A,1,0)</f>
        <v>Kaaruk Fashion</v>
      </c>
    </row>
    <row r="456" spans="1:13" x14ac:dyDescent="0.2">
      <c r="A456" s="2">
        <v>456</v>
      </c>
      <c r="B456" s="2" t="s">
        <v>804</v>
      </c>
      <c r="C456" s="2" t="s">
        <v>795</v>
      </c>
      <c r="D456" s="2" t="s">
        <v>709</v>
      </c>
      <c r="E456" s="2" t="s">
        <v>708</v>
      </c>
      <c r="F456" s="2" t="s">
        <v>566</v>
      </c>
      <c r="G456" s="2" t="s">
        <v>48</v>
      </c>
      <c r="H456" s="23">
        <v>800</v>
      </c>
      <c r="I456" s="6">
        <v>1150</v>
      </c>
      <c r="J456" s="1" t="s">
        <v>163</v>
      </c>
      <c r="K456" s="6">
        <v>1025</v>
      </c>
      <c r="L456" s="1" t="s">
        <v>809</v>
      </c>
      <c r="M456" s="70" t="str">
        <f>VLOOKUP(Table3[[#This Row],[Shop Name]],seller!A:A,1,0)</f>
        <v>Kaaruk Fashion</v>
      </c>
    </row>
    <row r="457" spans="1:13" x14ac:dyDescent="0.2">
      <c r="A457" s="2">
        <v>457</v>
      </c>
      <c r="B457" s="2">
        <v>1</v>
      </c>
      <c r="C457" s="2" t="s">
        <v>795</v>
      </c>
      <c r="D457" s="2" t="s">
        <v>710</v>
      </c>
      <c r="E457" s="2" t="s">
        <v>708</v>
      </c>
      <c r="F457" s="2" t="s">
        <v>566</v>
      </c>
      <c r="G457" s="2" t="s">
        <v>44</v>
      </c>
      <c r="H457" s="23">
        <v>800</v>
      </c>
      <c r="I457" s="6">
        <v>1150</v>
      </c>
      <c r="J457" s="1" t="s">
        <v>163</v>
      </c>
      <c r="K457" s="6">
        <v>800</v>
      </c>
      <c r="L457" s="1" t="s">
        <v>333</v>
      </c>
      <c r="M457" s="70" t="str">
        <f>VLOOKUP(Table3[[#This Row],[Shop Name]],seller!A:A,1,0)</f>
        <v>Kaaruk Fashion</v>
      </c>
    </row>
    <row r="458" spans="1:13" ht="32" x14ac:dyDescent="0.2">
      <c r="A458" s="2">
        <v>458</v>
      </c>
      <c r="B458" s="2" t="s">
        <v>784</v>
      </c>
      <c r="C458" s="2" t="s">
        <v>795</v>
      </c>
      <c r="D458" s="2" t="s">
        <v>710</v>
      </c>
      <c r="E458" s="2" t="s">
        <v>708</v>
      </c>
      <c r="F458" s="2" t="s">
        <v>566</v>
      </c>
      <c r="G458" s="2" t="s">
        <v>48</v>
      </c>
      <c r="H458" s="23">
        <v>800</v>
      </c>
      <c r="I458" s="6">
        <v>1150</v>
      </c>
      <c r="J458" s="1" t="s">
        <v>163</v>
      </c>
      <c r="K458" s="6">
        <v>1150</v>
      </c>
      <c r="L458" s="1" t="s">
        <v>797</v>
      </c>
      <c r="M458" s="70" t="str">
        <f>VLOOKUP(Table3[[#This Row],[Shop Name]],seller!A:A,1,0)</f>
        <v>Kaaruk Fashion</v>
      </c>
    </row>
    <row r="459" spans="1:13" x14ac:dyDescent="0.2">
      <c r="A459" s="2">
        <v>459</v>
      </c>
      <c r="B459" s="2" t="s">
        <v>804</v>
      </c>
      <c r="C459" s="2" t="s">
        <v>568</v>
      </c>
      <c r="D459" s="2" t="s">
        <v>712</v>
      </c>
      <c r="E459" s="8" t="s">
        <v>7</v>
      </c>
      <c r="F459" s="2" t="s">
        <v>566</v>
      </c>
      <c r="G459" s="2" t="s">
        <v>267</v>
      </c>
      <c r="H459" s="23">
        <v>490</v>
      </c>
      <c r="I459" s="6">
        <v>850</v>
      </c>
      <c r="J459" s="1" t="s">
        <v>163</v>
      </c>
      <c r="K459" s="6">
        <v>800</v>
      </c>
      <c r="L459" s="1" t="s">
        <v>721</v>
      </c>
      <c r="M459" s="70" t="str">
        <f>VLOOKUP(Table3[[#This Row],[Shop Name]],seller!A:A,1,0)</f>
        <v>Kaaruk Fashion</v>
      </c>
    </row>
    <row r="460" spans="1:13" ht="32" x14ac:dyDescent="0.2">
      <c r="A460" s="2">
        <v>460</v>
      </c>
      <c r="B460" s="2">
        <v>2</v>
      </c>
      <c r="C460" s="2" t="s">
        <v>568</v>
      </c>
      <c r="D460" s="2" t="s">
        <v>713</v>
      </c>
      <c r="E460" s="8" t="s">
        <v>7</v>
      </c>
      <c r="F460" s="2" t="s">
        <v>566</v>
      </c>
      <c r="G460" s="2" t="s">
        <v>267</v>
      </c>
      <c r="H460" s="23">
        <v>490</v>
      </c>
      <c r="I460" s="6">
        <v>850</v>
      </c>
      <c r="J460" s="1" t="s">
        <v>163</v>
      </c>
      <c r="K460" s="6">
        <v>800</v>
      </c>
      <c r="L460" s="1" t="s">
        <v>802</v>
      </c>
      <c r="M460" s="70" t="str">
        <f>VLOOKUP(Table3[[#This Row],[Shop Name]],seller!A:A,1,0)</f>
        <v>Kaaruk Fashion</v>
      </c>
    </row>
    <row r="461" spans="1:13" x14ac:dyDescent="0.2">
      <c r="A461" s="2">
        <v>461</v>
      </c>
      <c r="B461" s="2">
        <v>2</v>
      </c>
      <c r="C461" s="2" t="s">
        <v>568</v>
      </c>
      <c r="D461" s="2" t="s">
        <v>714</v>
      </c>
      <c r="E461" s="8" t="s">
        <v>7</v>
      </c>
      <c r="F461" s="2" t="s">
        <v>566</v>
      </c>
      <c r="G461" s="2" t="s">
        <v>267</v>
      </c>
      <c r="H461" s="23">
        <v>490</v>
      </c>
      <c r="I461" s="6">
        <v>850</v>
      </c>
      <c r="J461" s="1" t="s">
        <v>127</v>
      </c>
      <c r="K461" s="6">
        <v>0</v>
      </c>
      <c r="M461" s="70" t="str">
        <f>VLOOKUP(Table3[[#This Row],[Shop Name]],seller!A:A,1,0)</f>
        <v>Kaaruk Fashion</v>
      </c>
    </row>
    <row r="462" spans="1:13" ht="32" x14ac:dyDescent="0.2">
      <c r="A462" s="2">
        <v>462</v>
      </c>
      <c r="B462" s="2" t="s">
        <v>885</v>
      </c>
      <c r="C462" s="2" t="s">
        <v>568</v>
      </c>
      <c r="D462" s="2" t="s">
        <v>715</v>
      </c>
      <c r="E462" s="8" t="s">
        <v>7</v>
      </c>
      <c r="F462" s="2" t="s">
        <v>566</v>
      </c>
      <c r="G462" s="2" t="s">
        <v>267</v>
      </c>
      <c r="H462" s="23">
        <v>490</v>
      </c>
      <c r="I462" s="6">
        <v>850</v>
      </c>
      <c r="J462" s="1" t="s">
        <v>163</v>
      </c>
      <c r="K462" s="6">
        <v>775</v>
      </c>
      <c r="L462" s="24" t="s">
        <v>919</v>
      </c>
      <c r="M462" s="70" t="str">
        <f>VLOOKUP(Table3[[#This Row],[Shop Name]],seller!A:A,1,0)</f>
        <v>Kaaruk Fashion</v>
      </c>
    </row>
    <row r="463" spans="1:13" x14ac:dyDescent="0.2">
      <c r="A463" s="2">
        <v>463</v>
      </c>
      <c r="B463" s="2">
        <v>5</v>
      </c>
      <c r="C463" s="2" t="s">
        <v>55</v>
      </c>
      <c r="D463" s="2" t="s">
        <v>903</v>
      </c>
      <c r="E463" s="8" t="s">
        <v>7</v>
      </c>
      <c r="F463" s="2" t="s">
        <v>566</v>
      </c>
      <c r="G463" s="2" t="s">
        <v>44</v>
      </c>
      <c r="H463" s="23">
        <v>230</v>
      </c>
      <c r="I463" s="6">
        <v>450</v>
      </c>
      <c r="J463" s="1" t="s">
        <v>163</v>
      </c>
      <c r="K463" s="6">
        <v>400</v>
      </c>
      <c r="L463" s="1" t="s">
        <v>214</v>
      </c>
      <c r="M463" s="70" t="str">
        <f>VLOOKUP(Table3[[#This Row],[Shop Name]],seller!A:A,1,0)</f>
        <v>Kaaruk Fashion</v>
      </c>
    </row>
    <row r="464" spans="1:13" ht="32" x14ac:dyDescent="0.2">
      <c r="A464" s="2">
        <v>464</v>
      </c>
      <c r="B464" s="2" t="s">
        <v>885</v>
      </c>
      <c r="C464" s="2" t="s">
        <v>55</v>
      </c>
      <c r="D464" s="2" t="s">
        <v>904</v>
      </c>
      <c r="E464" s="8" t="s">
        <v>7</v>
      </c>
      <c r="F464" s="2" t="s">
        <v>566</v>
      </c>
      <c r="G464" s="2" t="s">
        <v>49</v>
      </c>
      <c r="H464" s="23">
        <v>230</v>
      </c>
      <c r="I464" s="6">
        <v>450</v>
      </c>
      <c r="J464" s="1" t="s">
        <v>163</v>
      </c>
      <c r="K464" s="6">
        <v>350</v>
      </c>
      <c r="L464" s="24" t="s">
        <v>917</v>
      </c>
      <c r="M464" s="70" t="str">
        <f>VLOOKUP(Table3[[#This Row],[Shop Name]],seller!A:A,1,0)</f>
        <v>Kaaruk Fashion</v>
      </c>
    </row>
    <row r="465" spans="1:13" x14ac:dyDescent="0.2">
      <c r="A465" s="2">
        <v>465</v>
      </c>
      <c r="B465" s="2">
        <v>4</v>
      </c>
      <c r="C465" s="2" t="s">
        <v>55</v>
      </c>
      <c r="D465" s="2" t="s">
        <v>905</v>
      </c>
      <c r="E465" s="8" t="s">
        <v>7</v>
      </c>
      <c r="F465" s="2" t="s">
        <v>566</v>
      </c>
      <c r="G465" s="2" t="s">
        <v>54</v>
      </c>
      <c r="H465" s="23">
        <v>300</v>
      </c>
      <c r="I465" s="6">
        <v>550</v>
      </c>
      <c r="J465" s="1" t="s">
        <v>163</v>
      </c>
      <c r="K465" s="6">
        <v>500</v>
      </c>
      <c r="L465" s="1" t="s">
        <v>802</v>
      </c>
      <c r="M465" s="70" t="str">
        <f>VLOOKUP(Table3[[#This Row],[Shop Name]],seller!A:A,1,0)</f>
        <v>Kaaruk Fashion</v>
      </c>
    </row>
    <row r="466" spans="1:13" x14ac:dyDescent="0.2">
      <c r="A466" s="2">
        <v>466</v>
      </c>
      <c r="B466" s="2" t="s">
        <v>954</v>
      </c>
      <c r="C466" s="2" t="s">
        <v>55</v>
      </c>
      <c r="D466" s="2" t="s">
        <v>906</v>
      </c>
      <c r="E466" s="8" t="s">
        <v>7</v>
      </c>
      <c r="F466" s="2" t="s">
        <v>566</v>
      </c>
      <c r="G466" s="2" t="s">
        <v>54</v>
      </c>
      <c r="H466" s="23">
        <v>230</v>
      </c>
      <c r="I466" s="6">
        <v>550</v>
      </c>
      <c r="J466" s="1" t="s">
        <v>163</v>
      </c>
      <c r="K466" s="6">
        <v>350</v>
      </c>
      <c r="L466" s="1" t="s">
        <v>983</v>
      </c>
      <c r="M466" s="70" t="str">
        <f>VLOOKUP(Table3[[#This Row],[Shop Name]],seller!A:A,1,0)</f>
        <v>Kaaruk Fashion</v>
      </c>
    </row>
    <row r="467" spans="1:13" ht="32" x14ac:dyDescent="0.2">
      <c r="A467" s="2">
        <v>467</v>
      </c>
      <c r="B467" s="2" t="s">
        <v>784</v>
      </c>
      <c r="C467" s="2" t="s">
        <v>55</v>
      </c>
      <c r="D467" s="2" t="s">
        <v>907</v>
      </c>
      <c r="E467" s="8" t="s">
        <v>7</v>
      </c>
      <c r="F467" s="2" t="s">
        <v>566</v>
      </c>
      <c r="G467" s="2" t="s">
        <v>54</v>
      </c>
      <c r="H467" s="23">
        <v>230</v>
      </c>
      <c r="I467" s="6">
        <v>450</v>
      </c>
      <c r="J467" s="1" t="s">
        <v>163</v>
      </c>
      <c r="K467" s="6">
        <v>420</v>
      </c>
      <c r="L467" s="1" t="s">
        <v>798</v>
      </c>
      <c r="M467" s="70" t="str">
        <f>VLOOKUP(Table3[[#This Row],[Shop Name]],seller!A:A,1,0)</f>
        <v>Kaaruk Fashion</v>
      </c>
    </row>
    <row r="468" spans="1:13" x14ac:dyDescent="0.2">
      <c r="A468" s="2">
        <v>468</v>
      </c>
      <c r="B468" s="2"/>
      <c r="C468" s="2" t="s">
        <v>55</v>
      </c>
      <c r="D468" s="2" t="s">
        <v>717</v>
      </c>
      <c r="E468" s="8" t="s">
        <v>708</v>
      </c>
      <c r="F468" s="2" t="s">
        <v>566</v>
      </c>
      <c r="G468" s="2" t="s">
        <v>44</v>
      </c>
      <c r="H468" s="23">
        <v>300</v>
      </c>
      <c r="I468" s="6">
        <v>550</v>
      </c>
      <c r="J468" s="1" t="s">
        <v>163</v>
      </c>
      <c r="K468" s="6">
        <v>500</v>
      </c>
      <c r="L468" s="1" t="s">
        <v>214</v>
      </c>
      <c r="M468" s="70" t="str">
        <f>VLOOKUP(Table3[[#This Row],[Shop Name]],seller!A:A,1,0)</f>
        <v>Kaaruk Fashion</v>
      </c>
    </row>
    <row r="469" spans="1:13" x14ac:dyDescent="0.2">
      <c r="A469" s="2">
        <v>469</v>
      </c>
      <c r="B469" s="2" t="s">
        <v>804</v>
      </c>
      <c r="C469" s="2" t="s">
        <v>55</v>
      </c>
      <c r="D469" s="2" t="s">
        <v>716</v>
      </c>
      <c r="E469" s="8" t="s">
        <v>708</v>
      </c>
      <c r="F469" s="2" t="s">
        <v>566</v>
      </c>
      <c r="G469" s="2" t="s">
        <v>285</v>
      </c>
      <c r="H469" s="23">
        <v>300</v>
      </c>
      <c r="I469" s="6">
        <v>550</v>
      </c>
      <c r="J469" s="1" t="s">
        <v>163</v>
      </c>
      <c r="K469" s="6">
        <v>500</v>
      </c>
      <c r="L469" s="1" t="s">
        <v>721</v>
      </c>
      <c r="M469" s="70" t="str">
        <f>VLOOKUP(Table3[[#This Row],[Shop Name]],seller!A:A,1,0)</f>
        <v>Kaaruk Fashion</v>
      </c>
    </row>
    <row r="470" spans="1:13" ht="32" x14ac:dyDescent="0.2">
      <c r="A470" s="2">
        <v>470</v>
      </c>
      <c r="B470" s="2" t="s">
        <v>885</v>
      </c>
      <c r="C470" s="2" t="s">
        <v>46</v>
      </c>
      <c r="D470" s="2" t="s">
        <v>743</v>
      </c>
      <c r="E470" s="2" t="s">
        <v>378</v>
      </c>
      <c r="F470" s="2" t="s">
        <v>75</v>
      </c>
      <c r="G470" s="2" t="s">
        <v>285</v>
      </c>
      <c r="H470" s="23">
        <v>655</v>
      </c>
      <c r="I470" s="6">
        <v>1050</v>
      </c>
      <c r="J470" s="1" t="s">
        <v>163</v>
      </c>
      <c r="K470" s="6">
        <v>950</v>
      </c>
      <c r="L470" s="24" t="s">
        <v>921</v>
      </c>
      <c r="M470" s="70" t="str">
        <f>VLOOKUP(Table3[[#This Row],[Shop Name]],seller!A:A,1,0)</f>
        <v>Rudra Fashion</v>
      </c>
    </row>
    <row r="471" spans="1:13" ht="32" x14ac:dyDescent="0.2">
      <c r="A471" s="2">
        <v>471</v>
      </c>
      <c r="B471" s="2" t="s">
        <v>954</v>
      </c>
      <c r="C471" s="2" t="s">
        <v>46</v>
      </c>
      <c r="D471" s="2" t="s">
        <v>737</v>
      </c>
      <c r="E471" s="2" t="s">
        <v>378</v>
      </c>
      <c r="F471" s="2" t="s">
        <v>75</v>
      </c>
      <c r="G471" s="2" t="s">
        <v>285</v>
      </c>
      <c r="H471" s="23">
        <v>655</v>
      </c>
      <c r="I471" s="6">
        <v>1050</v>
      </c>
      <c r="J471" s="1" t="s">
        <v>163</v>
      </c>
      <c r="K471" s="6">
        <v>1000</v>
      </c>
      <c r="L471" s="1" t="s">
        <v>728</v>
      </c>
      <c r="M471" s="70" t="str">
        <f>VLOOKUP(Table3[[#This Row],[Shop Name]],seller!A:A,1,0)</f>
        <v>Rudra Fashion</v>
      </c>
    </row>
    <row r="472" spans="1:13" ht="32" x14ac:dyDescent="0.2">
      <c r="A472" s="2">
        <v>472</v>
      </c>
      <c r="B472" s="2" t="s">
        <v>885</v>
      </c>
      <c r="C472" s="2" t="s">
        <v>46</v>
      </c>
      <c r="D472" s="2" t="s">
        <v>737</v>
      </c>
      <c r="E472" s="2" t="s">
        <v>378</v>
      </c>
      <c r="F472" s="2" t="s">
        <v>75</v>
      </c>
      <c r="G472" s="2" t="s">
        <v>341</v>
      </c>
      <c r="H472" s="23">
        <v>655</v>
      </c>
      <c r="I472" s="6">
        <v>1050</v>
      </c>
      <c r="J472" s="1" t="s">
        <v>163</v>
      </c>
      <c r="K472" s="6">
        <v>1000</v>
      </c>
      <c r="L472" s="24" t="s">
        <v>956</v>
      </c>
      <c r="M472" s="70" t="str">
        <f>VLOOKUP(Table3[[#This Row],[Shop Name]],seller!A:A,1,0)</f>
        <v>Rudra Fashion</v>
      </c>
    </row>
    <row r="473" spans="1:13" ht="32" x14ac:dyDescent="0.2">
      <c r="A473" s="2">
        <v>473</v>
      </c>
      <c r="B473" s="2" t="s">
        <v>885</v>
      </c>
      <c r="C473" s="2" t="s">
        <v>46</v>
      </c>
      <c r="D473" s="2" t="s">
        <v>738</v>
      </c>
      <c r="E473" s="2" t="s">
        <v>378</v>
      </c>
      <c r="F473" s="2" t="s">
        <v>75</v>
      </c>
      <c r="G473" s="2" t="s">
        <v>285</v>
      </c>
      <c r="H473" s="23">
        <v>655</v>
      </c>
      <c r="I473" s="6">
        <v>1050</v>
      </c>
      <c r="J473" s="1" t="s">
        <v>163</v>
      </c>
      <c r="K473" s="6">
        <v>1000</v>
      </c>
      <c r="L473" s="24" t="s">
        <v>913</v>
      </c>
      <c r="M473" s="70" t="str">
        <f>VLOOKUP(Table3[[#This Row],[Shop Name]],seller!A:A,1,0)</f>
        <v>Rudra Fashion</v>
      </c>
    </row>
    <row r="474" spans="1:13" ht="32" x14ac:dyDescent="0.2">
      <c r="A474" s="2">
        <v>474</v>
      </c>
      <c r="B474" s="2" t="s">
        <v>804</v>
      </c>
      <c r="C474" s="2" t="s">
        <v>46</v>
      </c>
      <c r="D474" s="2" t="s">
        <v>738</v>
      </c>
      <c r="E474" s="2" t="s">
        <v>378</v>
      </c>
      <c r="F474" s="2" t="s">
        <v>75</v>
      </c>
      <c r="G474" s="2" t="s">
        <v>341</v>
      </c>
      <c r="H474" s="23">
        <v>655</v>
      </c>
      <c r="I474" s="6">
        <v>1050</v>
      </c>
      <c r="J474" s="1" t="s">
        <v>163</v>
      </c>
      <c r="K474" s="6">
        <v>1000</v>
      </c>
      <c r="L474" s="1" t="s">
        <v>721</v>
      </c>
      <c r="M474" s="70" t="str">
        <f>VLOOKUP(Table3[[#This Row],[Shop Name]],seller!A:A,1,0)</f>
        <v>Rudra Fashion</v>
      </c>
    </row>
    <row r="475" spans="1:13" ht="32" x14ac:dyDescent="0.2">
      <c r="A475" s="2">
        <v>475</v>
      </c>
      <c r="B475" s="2" t="s">
        <v>872</v>
      </c>
      <c r="C475" s="2" t="s">
        <v>46</v>
      </c>
      <c r="D475" s="2" t="s">
        <v>741</v>
      </c>
      <c r="E475" s="2" t="s">
        <v>378</v>
      </c>
      <c r="F475" s="2" t="s">
        <v>75</v>
      </c>
      <c r="G475" s="2" t="s">
        <v>341</v>
      </c>
      <c r="H475" s="23">
        <v>595</v>
      </c>
      <c r="I475" s="6">
        <v>950</v>
      </c>
      <c r="J475" s="1" t="s">
        <v>163</v>
      </c>
      <c r="K475" s="6">
        <v>900</v>
      </c>
      <c r="L475" s="1" t="s">
        <v>880</v>
      </c>
      <c r="M475" s="70" t="str">
        <f>VLOOKUP(Table3[[#This Row],[Shop Name]],seller!A:A,1,0)</f>
        <v>Rudra Fashion</v>
      </c>
    </row>
    <row r="476" spans="1:13" ht="32" x14ac:dyDescent="0.2">
      <c r="A476" s="2">
        <v>476</v>
      </c>
      <c r="B476" s="2" t="s">
        <v>885</v>
      </c>
      <c r="C476" s="2" t="s">
        <v>46</v>
      </c>
      <c r="D476" s="2" t="s">
        <v>742</v>
      </c>
      <c r="E476" s="2" t="s">
        <v>378</v>
      </c>
      <c r="F476" s="2" t="s">
        <v>75</v>
      </c>
      <c r="G476" s="2" t="s">
        <v>285</v>
      </c>
      <c r="H476" s="23">
        <v>595</v>
      </c>
      <c r="I476" s="6">
        <v>950</v>
      </c>
      <c r="J476" s="1" t="s">
        <v>163</v>
      </c>
      <c r="K476" s="6">
        <v>875.5</v>
      </c>
      <c r="L476" s="24" t="s">
        <v>957</v>
      </c>
      <c r="M476" s="70" t="str">
        <f>VLOOKUP(Table3[[#This Row],[Shop Name]],seller!A:A,1,0)</f>
        <v>Rudra Fashion</v>
      </c>
    </row>
    <row r="477" spans="1:13" ht="32" x14ac:dyDescent="0.2">
      <c r="A477" s="2">
        <v>477</v>
      </c>
      <c r="B477" s="2" t="s">
        <v>954</v>
      </c>
      <c r="C477" s="2" t="s">
        <v>46</v>
      </c>
      <c r="D477" s="2" t="s">
        <v>744</v>
      </c>
      <c r="E477" s="2" t="s">
        <v>378</v>
      </c>
      <c r="F477" s="2" t="s">
        <v>75</v>
      </c>
      <c r="G477" s="2" t="s">
        <v>285</v>
      </c>
      <c r="H477" s="23">
        <v>715</v>
      </c>
      <c r="I477" s="6">
        <v>1100</v>
      </c>
      <c r="J477" s="1" t="s">
        <v>163</v>
      </c>
      <c r="K477" s="6">
        <v>1050</v>
      </c>
      <c r="L477" s="1" t="s">
        <v>728</v>
      </c>
      <c r="M477" s="70" t="str">
        <f>VLOOKUP(Table3[[#This Row],[Shop Name]],seller!A:A,1,0)</f>
        <v>Rudra Fashion</v>
      </c>
    </row>
    <row r="478" spans="1:13" ht="32" x14ac:dyDescent="0.2">
      <c r="A478" s="2">
        <v>478</v>
      </c>
      <c r="B478" s="2">
        <v>17</v>
      </c>
      <c r="C478" s="2" t="s">
        <v>46</v>
      </c>
      <c r="D478" s="2" t="s">
        <v>744</v>
      </c>
      <c r="E478" s="2" t="s">
        <v>378</v>
      </c>
      <c r="F478" s="2" t="s">
        <v>75</v>
      </c>
      <c r="G478" s="2" t="s">
        <v>341</v>
      </c>
      <c r="H478" s="23">
        <v>715</v>
      </c>
      <c r="I478" s="6">
        <v>1100</v>
      </c>
      <c r="J478" s="1" t="s">
        <v>163</v>
      </c>
      <c r="K478" s="6">
        <v>1025</v>
      </c>
      <c r="L478" s="1" t="s">
        <v>803</v>
      </c>
      <c r="M478" s="70" t="str">
        <f>VLOOKUP(Table3[[#This Row],[Shop Name]],seller!A:A,1,0)</f>
        <v>Rudra Fashion</v>
      </c>
    </row>
    <row r="479" spans="1:13" ht="32" x14ac:dyDescent="0.2">
      <c r="A479" s="2">
        <v>479</v>
      </c>
      <c r="B479" s="2" t="s">
        <v>885</v>
      </c>
      <c r="C479" s="2" t="s">
        <v>46</v>
      </c>
      <c r="D479" s="2" t="s">
        <v>745</v>
      </c>
      <c r="E479" s="2" t="s">
        <v>378</v>
      </c>
      <c r="F479" s="2" t="s">
        <v>75</v>
      </c>
      <c r="G479" s="2" t="s">
        <v>285</v>
      </c>
      <c r="H479" s="63">
        <v>0</v>
      </c>
      <c r="I479" s="6">
        <v>999</v>
      </c>
      <c r="J479" s="1" t="s">
        <v>163</v>
      </c>
      <c r="K479" s="6">
        <v>924.5</v>
      </c>
      <c r="L479" s="24" t="s">
        <v>957</v>
      </c>
      <c r="M479" s="70" t="str">
        <f>VLOOKUP(Table3[[#This Row],[Shop Name]],seller!A:A,1,0)</f>
        <v>Rudra Fashion</v>
      </c>
    </row>
    <row r="480" spans="1:13" x14ac:dyDescent="0.2">
      <c r="A480" s="2">
        <v>480</v>
      </c>
      <c r="B480" s="2" t="s">
        <v>954</v>
      </c>
      <c r="C480" s="2" t="s">
        <v>53</v>
      </c>
      <c r="D480" s="2" t="s">
        <v>749</v>
      </c>
      <c r="E480" s="2" t="s">
        <v>7</v>
      </c>
      <c r="F480" s="2" t="s">
        <v>75</v>
      </c>
      <c r="G480" s="2" t="s">
        <v>285</v>
      </c>
      <c r="H480" s="23">
        <v>665</v>
      </c>
      <c r="I480" s="6">
        <v>1050</v>
      </c>
      <c r="J480" s="1" t="s">
        <v>163</v>
      </c>
      <c r="K480" s="6">
        <v>1000</v>
      </c>
      <c r="L480" s="1" t="s">
        <v>798</v>
      </c>
      <c r="M480" s="70" t="str">
        <f>VLOOKUP(Table3[[#This Row],[Shop Name]],seller!A:A,1,0)</f>
        <v>Rudra Fashion</v>
      </c>
    </row>
    <row r="481" spans="1:13" x14ac:dyDescent="0.2">
      <c r="A481" s="2">
        <v>481</v>
      </c>
      <c r="B481" s="2">
        <v>15</v>
      </c>
      <c r="C481" s="2" t="s">
        <v>53</v>
      </c>
      <c r="D481" s="2" t="s">
        <v>750</v>
      </c>
      <c r="E481" s="2" t="s">
        <v>7</v>
      </c>
      <c r="F481" s="2" t="s">
        <v>75</v>
      </c>
      <c r="G481" s="2" t="s">
        <v>347</v>
      </c>
      <c r="H481" s="23">
        <v>665</v>
      </c>
      <c r="I481" s="6">
        <v>1050</v>
      </c>
      <c r="J481" s="1" t="s">
        <v>127</v>
      </c>
      <c r="K481" s="6">
        <v>0</v>
      </c>
      <c r="M481" s="70" t="str">
        <f>VLOOKUP(Table3[[#This Row],[Shop Name]],seller!A:A,1,0)</f>
        <v>Rudra Fashion</v>
      </c>
    </row>
    <row r="482" spans="1:13" x14ac:dyDescent="0.2">
      <c r="A482" s="2">
        <v>482</v>
      </c>
      <c r="B482" s="2">
        <v>16</v>
      </c>
      <c r="C482" s="2" t="s">
        <v>53</v>
      </c>
      <c r="D482" s="2" t="s">
        <v>751</v>
      </c>
      <c r="E482" s="2" t="s">
        <v>7</v>
      </c>
      <c r="F482" s="2" t="s">
        <v>75</v>
      </c>
      <c r="G482" s="2" t="s">
        <v>285</v>
      </c>
      <c r="H482" s="23">
        <v>695</v>
      </c>
      <c r="I482" s="6">
        <v>1050</v>
      </c>
      <c r="J482" s="1" t="s">
        <v>127</v>
      </c>
      <c r="K482" s="6">
        <v>0</v>
      </c>
      <c r="M482" s="70" t="str">
        <f>VLOOKUP(Table3[[#This Row],[Shop Name]],seller!A:A,1,0)</f>
        <v>Rudra Fashion</v>
      </c>
    </row>
    <row r="483" spans="1:13" x14ac:dyDescent="0.2">
      <c r="A483" s="2">
        <v>483</v>
      </c>
      <c r="B483" s="2"/>
      <c r="C483" s="2" t="s">
        <v>53</v>
      </c>
      <c r="D483" s="2" t="s">
        <v>747</v>
      </c>
      <c r="E483" s="2" t="s">
        <v>7</v>
      </c>
      <c r="F483" s="2" t="s">
        <v>75</v>
      </c>
      <c r="G483" s="2" t="s">
        <v>285</v>
      </c>
      <c r="H483" s="23">
        <v>695</v>
      </c>
      <c r="I483" s="6">
        <v>1050</v>
      </c>
      <c r="J483" s="1" t="s">
        <v>163</v>
      </c>
      <c r="K483" s="6">
        <v>0</v>
      </c>
      <c r="M483" s="70" t="str">
        <f>VLOOKUP(Table3[[#This Row],[Shop Name]],seller!A:A,1,0)</f>
        <v>Rudra Fashion</v>
      </c>
    </row>
    <row r="484" spans="1:13" x14ac:dyDescent="0.2">
      <c r="A484" s="2">
        <v>484</v>
      </c>
      <c r="B484" s="2" t="s">
        <v>954</v>
      </c>
      <c r="C484" s="2" t="s">
        <v>53</v>
      </c>
      <c r="D484" s="2" t="s">
        <v>748</v>
      </c>
      <c r="E484" s="2" t="s">
        <v>7</v>
      </c>
      <c r="F484" s="2" t="s">
        <v>75</v>
      </c>
      <c r="G484" s="2" t="s">
        <v>347</v>
      </c>
      <c r="H484" s="23">
        <v>695</v>
      </c>
      <c r="I484" s="6">
        <v>1050</v>
      </c>
      <c r="J484" s="1" t="s">
        <v>163</v>
      </c>
      <c r="K484" s="6">
        <v>1000</v>
      </c>
      <c r="L484" s="1" t="s">
        <v>960</v>
      </c>
      <c r="M484" s="70" t="str">
        <f>VLOOKUP(Table3[[#This Row],[Shop Name]],seller!A:A,1,0)</f>
        <v>Rudra Fashion</v>
      </c>
    </row>
    <row r="485" spans="1:13" x14ac:dyDescent="0.2">
      <c r="A485" s="2">
        <v>485</v>
      </c>
      <c r="B485" s="2" t="s">
        <v>954</v>
      </c>
      <c r="C485" s="2" t="s">
        <v>53</v>
      </c>
      <c r="D485" s="2" t="s">
        <v>752</v>
      </c>
      <c r="E485" s="2" t="s">
        <v>7</v>
      </c>
      <c r="F485" s="2" t="s">
        <v>75</v>
      </c>
      <c r="G485" s="2" t="s">
        <v>56</v>
      </c>
      <c r="H485" s="23">
        <v>690</v>
      </c>
      <c r="I485" s="6">
        <v>1050</v>
      </c>
      <c r="J485" s="1" t="s">
        <v>163</v>
      </c>
      <c r="K485" s="6">
        <v>1032</v>
      </c>
      <c r="L485" s="1" t="s">
        <v>970</v>
      </c>
      <c r="M485" s="70" t="str">
        <f>VLOOKUP(Table3[[#This Row],[Shop Name]],seller!A:A,1,0)</f>
        <v>Rudra Fashion</v>
      </c>
    </row>
    <row r="486" spans="1:13" x14ac:dyDescent="0.2">
      <c r="A486" s="2">
        <v>486</v>
      </c>
      <c r="B486" s="2" t="s">
        <v>804</v>
      </c>
      <c r="C486" s="2" t="s">
        <v>43</v>
      </c>
      <c r="D486" s="2" t="s">
        <v>1008</v>
      </c>
      <c r="E486" s="2" t="s">
        <v>753</v>
      </c>
      <c r="F486" s="2" t="s">
        <v>75</v>
      </c>
      <c r="G486" s="2" t="s">
        <v>49</v>
      </c>
      <c r="H486" s="23">
        <v>955</v>
      </c>
      <c r="I486" s="6">
        <v>1300</v>
      </c>
      <c r="J486" s="1" t="s">
        <v>163</v>
      </c>
      <c r="K486" s="6">
        <v>1175</v>
      </c>
      <c r="L486" s="1" t="s">
        <v>809</v>
      </c>
      <c r="M486" s="70" t="str">
        <f>VLOOKUP(Table3[[#This Row],[Shop Name]],seller!A:A,1,0)</f>
        <v>Rudra Fashion</v>
      </c>
    </row>
    <row r="487" spans="1:13" ht="32" x14ac:dyDescent="0.2">
      <c r="A487" s="2">
        <v>487</v>
      </c>
      <c r="B487" s="2">
        <v>8</v>
      </c>
      <c r="C487" s="2" t="s">
        <v>53</v>
      </c>
      <c r="D487" s="2" t="s">
        <v>771</v>
      </c>
      <c r="E487" s="2" t="s">
        <v>7</v>
      </c>
      <c r="F487" s="2" t="s">
        <v>75</v>
      </c>
      <c r="G487" s="2" t="s">
        <v>54</v>
      </c>
      <c r="H487" s="23">
        <v>690</v>
      </c>
      <c r="I487" s="6">
        <v>1050</v>
      </c>
      <c r="J487" s="1" t="s">
        <v>127</v>
      </c>
      <c r="K487" s="6">
        <v>0</v>
      </c>
      <c r="M487" s="70" t="str">
        <f>VLOOKUP(Table3[[#This Row],[Shop Name]],seller!A:A,1,0)</f>
        <v>Rudra Fashion</v>
      </c>
    </row>
    <row r="488" spans="1:13" ht="32" x14ac:dyDescent="0.2">
      <c r="A488" s="2">
        <v>488</v>
      </c>
      <c r="B488" s="2">
        <v>8</v>
      </c>
      <c r="C488" s="2" t="s">
        <v>53</v>
      </c>
      <c r="D488" s="2" t="s">
        <v>772</v>
      </c>
      <c r="E488" s="2" t="s">
        <v>7</v>
      </c>
      <c r="F488" s="2" t="s">
        <v>75</v>
      </c>
      <c r="G488" s="2" t="s">
        <v>754</v>
      </c>
      <c r="H488" s="23">
        <v>690</v>
      </c>
      <c r="I488" s="6">
        <v>1050</v>
      </c>
      <c r="J488" s="1" t="s">
        <v>127</v>
      </c>
      <c r="K488" s="6">
        <v>0</v>
      </c>
      <c r="M488" s="70" t="str">
        <f>VLOOKUP(Table3[[#This Row],[Shop Name]],seller!A:A,1,0)</f>
        <v>Rudra Fashion</v>
      </c>
    </row>
    <row r="489" spans="1:13" ht="32" x14ac:dyDescent="0.2">
      <c r="A489" s="2">
        <v>489</v>
      </c>
      <c r="B489" s="2">
        <v>11</v>
      </c>
      <c r="C489" s="2" t="s">
        <v>53</v>
      </c>
      <c r="D489" s="2" t="s">
        <v>773</v>
      </c>
      <c r="E489" s="2" t="s">
        <v>7</v>
      </c>
      <c r="F489" s="2" t="s">
        <v>75</v>
      </c>
      <c r="G489" s="2" t="s">
        <v>48</v>
      </c>
      <c r="H489" s="23">
        <v>625</v>
      </c>
      <c r="I489" s="6">
        <v>850</v>
      </c>
      <c r="J489" s="1" t="s">
        <v>127</v>
      </c>
      <c r="K489" s="6">
        <v>0</v>
      </c>
      <c r="M489" s="70" t="str">
        <f>VLOOKUP(Table3[[#This Row],[Shop Name]],seller!A:A,1,0)</f>
        <v>Rudra Fashion</v>
      </c>
    </row>
    <row r="490" spans="1:13" ht="32" x14ac:dyDescent="0.2">
      <c r="A490" s="2">
        <v>490</v>
      </c>
      <c r="B490" s="2">
        <v>11</v>
      </c>
      <c r="C490" s="2" t="s">
        <v>53</v>
      </c>
      <c r="D490" s="2" t="s">
        <v>774</v>
      </c>
      <c r="E490" s="2" t="s">
        <v>7</v>
      </c>
      <c r="F490" s="2" t="s">
        <v>75</v>
      </c>
      <c r="G490" s="2" t="s">
        <v>48</v>
      </c>
      <c r="H490" s="23">
        <v>625</v>
      </c>
      <c r="I490" s="6">
        <v>850</v>
      </c>
      <c r="J490" s="1" t="s">
        <v>127</v>
      </c>
      <c r="K490" s="6">
        <v>0</v>
      </c>
      <c r="M490" s="70" t="str">
        <f>VLOOKUP(Table3[[#This Row],[Shop Name]],seller!A:A,1,0)</f>
        <v>Rudra Fashion</v>
      </c>
    </row>
    <row r="491" spans="1:13" ht="32" x14ac:dyDescent="0.2">
      <c r="A491" s="2">
        <v>491</v>
      </c>
      <c r="B491" s="2">
        <v>13</v>
      </c>
      <c r="C491" s="2" t="s">
        <v>53</v>
      </c>
      <c r="D491" s="2" t="s">
        <v>775</v>
      </c>
      <c r="E491" s="2" t="s">
        <v>7</v>
      </c>
      <c r="F491" s="2" t="s">
        <v>75</v>
      </c>
      <c r="G491" s="2" t="s">
        <v>48</v>
      </c>
      <c r="H491" s="23">
        <v>580</v>
      </c>
      <c r="I491" s="6">
        <v>999</v>
      </c>
      <c r="J491" s="1" t="s">
        <v>127</v>
      </c>
      <c r="K491" s="6">
        <v>0</v>
      </c>
      <c r="M491" s="70" t="str">
        <f>VLOOKUP(Table3[[#This Row],[Shop Name]],seller!A:A,1,0)</f>
        <v>Rudra Fashion</v>
      </c>
    </row>
    <row r="492" spans="1:13" ht="32" x14ac:dyDescent="0.2">
      <c r="A492" s="2">
        <v>492</v>
      </c>
      <c r="B492" s="2">
        <v>9</v>
      </c>
      <c r="C492" s="2" t="s">
        <v>53</v>
      </c>
      <c r="D492" s="2" t="s">
        <v>776</v>
      </c>
      <c r="E492" s="2" t="s">
        <v>7</v>
      </c>
      <c r="F492" s="2" t="s">
        <v>75</v>
      </c>
      <c r="G492" s="2" t="s">
        <v>54</v>
      </c>
      <c r="H492" s="23">
        <v>635</v>
      </c>
      <c r="I492" s="6">
        <v>999</v>
      </c>
      <c r="J492" s="1" t="s">
        <v>127</v>
      </c>
      <c r="K492" s="6">
        <v>0</v>
      </c>
      <c r="M492" s="70" t="str">
        <f>VLOOKUP(Table3[[#This Row],[Shop Name]],seller!A:A,1,0)</f>
        <v>Rudra Fashion</v>
      </c>
    </row>
    <row r="493" spans="1:13" ht="32" x14ac:dyDescent="0.2">
      <c r="A493" s="2">
        <v>493</v>
      </c>
      <c r="B493" s="2">
        <v>3</v>
      </c>
      <c r="C493" s="2" t="s">
        <v>53</v>
      </c>
      <c r="D493" s="2" t="s">
        <v>769</v>
      </c>
      <c r="E493" s="2" t="s">
        <v>7</v>
      </c>
      <c r="F493" s="2" t="s">
        <v>75</v>
      </c>
      <c r="G493" s="2" t="s">
        <v>48</v>
      </c>
      <c r="H493" s="23">
        <v>690</v>
      </c>
      <c r="I493" s="6">
        <v>999</v>
      </c>
      <c r="J493" s="1" t="s">
        <v>127</v>
      </c>
      <c r="K493" s="6">
        <v>0</v>
      </c>
      <c r="M493" s="70" t="str">
        <f>VLOOKUP(Table3[[#This Row],[Shop Name]],seller!A:A,1,0)</f>
        <v>Rudra Fashion</v>
      </c>
    </row>
    <row r="494" spans="1:13" ht="32" x14ac:dyDescent="0.2">
      <c r="A494" s="2">
        <v>494</v>
      </c>
      <c r="B494" s="2" t="s">
        <v>885</v>
      </c>
      <c r="C494" s="2" t="s">
        <v>280</v>
      </c>
      <c r="D494" s="2" t="s">
        <v>777</v>
      </c>
      <c r="E494" s="2" t="s">
        <v>7</v>
      </c>
      <c r="F494" s="2" t="s">
        <v>75</v>
      </c>
      <c r="G494" s="2" t="s">
        <v>49</v>
      </c>
      <c r="H494" s="23">
        <v>805</v>
      </c>
      <c r="I494" s="6">
        <v>1150</v>
      </c>
      <c r="J494" s="1" t="s">
        <v>163</v>
      </c>
      <c r="K494" s="6">
        <v>1100</v>
      </c>
      <c r="L494" s="24" t="s">
        <v>918</v>
      </c>
      <c r="M494" s="70" t="str">
        <f>VLOOKUP(Table3[[#This Row],[Shop Name]],seller!A:A,1,0)</f>
        <v>Rudra Fashion</v>
      </c>
    </row>
    <row r="495" spans="1:13" x14ac:dyDescent="0.2">
      <c r="A495" s="2">
        <v>495</v>
      </c>
      <c r="B495" s="2">
        <v>14</v>
      </c>
      <c r="C495" s="2" t="s">
        <v>43</v>
      </c>
      <c r="D495" s="2" t="s">
        <v>778</v>
      </c>
      <c r="E495" s="2" t="s">
        <v>7</v>
      </c>
      <c r="F495" s="2" t="s">
        <v>75</v>
      </c>
      <c r="G495" s="2" t="s">
        <v>44</v>
      </c>
      <c r="H495" s="23">
        <v>745</v>
      </c>
      <c r="I495" s="6">
        <v>1050</v>
      </c>
      <c r="J495" s="1" t="s">
        <v>127</v>
      </c>
      <c r="K495" s="6">
        <v>0</v>
      </c>
      <c r="M495" s="70" t="str">
        <f>VLOOKUP(Table3[[#This Row],[Shop Name]],seller!A:A,1,0)</f>
        <v>Rudra Fashion</v>
      </c>
    </row>
    <row r="496" spans="1:13" x14ac:dyDescent="0.2">
      <c r="A496" s="2">
        <v>496</v>
      </c>
      <c r="B496" s="2">
        <v>2</v>
      </c>
      <c r="C496" s="2" t="s">
        <v>59</v>
      </c>
      <c r="D496" s="2" t="s">
        <v>779</v>
      </c>
      <c r="E496" s="2" t="s">
        <v>7</v>
      </c>
      <c r="F496" s="2" t="s">
        <v>75</v>
      </c>
      <c r="G496" s="2" t="s">
        <v>49</v>
      </c>
      <c r="H496" s="23">
        <v>450</v>
      </c>
      <c r="I496" s="6">
        <v>750</v>
      </c>
      <c r="J496" s="1" t="s">
        <v>127</v>
      </c>
      <c r="K496" s="6">
        <v>0</v>
      </c>
      <c r="M496" s="70" t="str">
        <f>VLOOKUP(Table3[[#This Row],[Shop Name]],seller!A:A,1,0)</f>
        <v>Rudra Fashion</v>
      </c>
    </row>
    <row r="497" spans="1:13" ht="32" x14ac:dyDescent="0.2">
      <c r="A497" s="2">
        <v>497</v>
      </c>
      <c r="B497" s="2" t="s">
        <v>784</v>
      </c>
      <c r="C497" s="2" t="s">
        <v>59</v>
      </c>
      <c r="D497" s="2" t="s">
        <v>780</v>
      </c>
      <c r="E497" s="2" t="s">
        <v>614</v>
      </c>
      <c r="F497" s="2" t="s">
        <v>75</v>
      </c>
      <c r="G497" s="2" t="s">
        <v>54</v>
      </c>
      <c r="H497" s="23">
        <v>775</v>
      </c>
      <c r="I497" s="6">
        <v>950</v>
      </c>
      <c r="J497" s="1" t="s">
        <v>163</v>
      </c>
      <c r="K497" s="6">
        <v>875</v>
      </c>
      <c r="L497" s="1" t="s">
        <v>794</v>
      </c>
      <c r="M497" s="70" t="str">
        <f>VLOOKUP(Table3[[#This Row],[Shop Name]],seller!A:A,1,0)</f>
        <v>Rudra Fashion</v>
      </c>
    </row>
    <row r="498" spans="1:13" x14ac:dyDescent="0.2">
      <c r="A498" s="2">
        <v>498</v>
      </c>
      <c r="B498" s="2">
        <v>20</v>
      </c>
      <c r="C498" s="2" t="s">
        <v>59</v>
      </c>
      <c r="D498" s="2" t="s">
        <v>781</v>
      </c>
      <c r="E498" s="2" t="s">
        <v>7</v>
      </c>
      <c r="F498" s="2" t="s">
        <v>75</v>
      </c>
      <c r="G498" s="2" t="s">
        <v>44</v>
      </c>
      <c r="H498" s="23">
        <v>635</v>
      </c>
      <c r="I498" s="6">
        <v>999</v>
      </c>
      <c r="J498" s="1" t="s">
        <v>127</v>
      </c>
      <c r="K498" s="6">
        <v>0</v>
      </c>
      <c r="M498" s="70" t="str">
        <f>VLOOKUP(Table3[[#This Row],[Shop Name]],seller!A:A,1,0)</f>
        <v>Rudra Fashion</v>
      </c>
    </row>
    <row r="499" spans="1:13" ht="32" x14ac:dyDescent="0.2">
      <c r="A499" s="2">
        <v>499</v>
      </c>
      <c r="B499" s="2" t="s">
        <v>954</v>
      </c>
      <c r="C499" s="2" t="s">
        <v>46</v>
      </c>
      <c r="D499" s="2" t="s">
        <v>782</v>
      </c>
      <c r="E499" s="2" t="s">
        <v>7</v>
      </c>
      <c r="F499" s="2" t="s">
        <v>75</v>
      </c>
      <c r="G499" s="2" t="s">
        <v>54</v>
      </c>
      <c r="H499" s="23">
        <v>605</v>
      </c>
      <c r="I499" s="6">
        <v>999</v>
      </c>
      <c r="J499" s="1" t="s">
        <v>163</v>
      </c>
      <c r="K499" s="6">
        <v>950</v>
      </c>
      <c r="L499" s="1" t="s">
        <v>985</v>
      </c>
      <c r="M499" s="70" t="str">
        <f>VLOOKUP(Table3[[#This Row],[Shop Name]],seller!A:A,1,0)</f>
        <v>Rudra Fashion</v>
      </c>
    </row>
    <row r="500" spans="1:13" x14ac:dyDescent="0.2">
      <c r="A500" s="2">
        <v>500</v>
      </c>
      <c r="B500" s="2"/>
      <c r="C500" s="2" t="s">
        <v>55</v>
      </c>
      <c r="D500" s="2" t="s">
        <v>984</v>
      </c>
      <c r="E500" s="8" t="s">
        <v>7</v>
      </c>
      <c r="F500" s="2" t="s">
        <v>566</v>
      </c>
      <c r="G500" s="2" t="s">
        <v>44</v>
      </c>
      <c r="H500" s="23">
        <v>300</v>
      </c>
      <c r="I500" s="6">
        <v>550</v>
      </c>
      <c r="J500" s="1" t="s">
        <v>127</v>
      </c>
      <c r="K500" s="6">
        <v>0</v>
      </c>
      <c r="M500" s="70" t="str">
        <f>VLOOKUP(Table3[[#This Row],[Shop Name]],seller!A:A,1,0)</f>
        <v>Kaaruk Fashion</v>
      </c>
    </row>
    <row r="501" spans="1:13" ht="32" x14ac:dyDescent="0.2">
      <c r="A501" s="2">
        <v>501</v>
      </c>
      <c r="B501" s="2" t="s">
        <v>954</v>
      </c>
      <c r="C501" s="2" t="s">
        <v>46</v>
      </c>
      <c r="D501" s="2" t="s">
        <v>820</v>
      </c>
      <c r="E501" s="2" t="s">
        <v>60</v>
      </c>
      <c r="F501" s="2" t="s">
        <v>814</v>
      </c>
      <c r="G501" s="2" t="s">
        <v>285</v>
      </c>
      <c r="H501" s="23">
        <v>760</v>
      </c>
      <c r="I501" s="6">
        <v>1100</v>
      </c>
      <c r="J501" s="1" t="s">
        <v>163</v>
      </c>
      <c r="K501" s="6">
        <v>1000</v>
      </c>
      <c r="L501" s="1" t="s">
        <v>977</v>
      </c>
      <c r="M501" s="70" t="str">
        <f>VLOOKUP(Table3[[#This Row],[Shop Name]],seller!A:A,1,0)</f>
        <v>Anukul Dresses</v>
      </c>
    </row>
    <row r="502" spans="1:13" ht="32" x14ac:dyDescent="0.2">
      <c r="A502" s="2">
        <v>502</v>
      </c>
      <c r="B502" s="2" t="s">
        <v>962</v>
      </c>
      <c r="C502" s="2" t="s">
        <v>46</v>
      </c>
      <c r="D502" s="2" t="s">
        <v>821</v>
      </c>
      <c r="E502" s="2" t="s">
        <v>60</v>
      </c>
      <c r="F502" s="2" t="s">
        <v>814</v>
      </c>
      <c r="G502" s="2" t="s">
        <v>285</v>
      </c>
      <c r="H502" s="23">
        <v>760</v>
      </c>
      <c r="I502" s="6">
        <v>1100</v>
      </c>
      <c r="J502" s="1" t="s">
        <v>163</v>
      </c>
      <c r="K502" s="6">
        <v>1100</v>
      </c>
      <c r="L502" s="1" t="s">
        <v>974</v>
      </c>
      <c r="M502" s="70" t="str">
        <f>VLOOKUP(Table3[[#This Row],[Shop Name]],seller!A:A,1,0)</f>
        <v>Anukul Dresses</v>
      </c>
    </row>
    <row r="503" spans="1:13" x14ac:dyDescent="0.2">
      <c r="A503" s="2">
        <v>503</v>
      </c>
      <c r="B503" s="2">
        <v>13</v>
      </c>
      <c r="C503" s="2" t="s">
        <v>53</v>
      </c>
      <c r="D503" s="2" t="s">
        <v>822</v>
      </c>
      <c r="E503" s="2" t="s">
        <v>60</v>
      </c>
      <c r="F503" s="2" t="s">
        <v>814</v>
      </c>
      <c r="G503" s="2" t="s">
        <v>48</v>
      </c>
      <c r="H503" s="23">
        <v>975</v>
      </c>
      <c r="I503" s="6">
        <v>1300</v>
      </c>
      <c r="J503" s="1" t="s">
        <v>127</v>
      </c>
      <c r="K503" s="6">
        <v>0</v>
      </c>
      <c r="M503" s="70" t="str">
        <f>VLOOKUP(Table3[[#This Row],[Shop Name]],seller!A:A,1,0)</f>
        <v>Anukul Dresses</v>
      </c>
    </row>
    <row r="504" spans="1:13" x14ac:dyDescent="0.2">
      <c r="A504" s="2">
        <v>504</v>
      </c>
      <c r="B504" s="2">
        <v>10</v>
      </c>
      <c r="C504" s="2" t="s">
        <v>832</v>
      </c>
      <c r="D504" s="2" t="s">
        <v>978</v>
      </c>
      <c r="E504" s="2" t="s">
        <v>817</v>
      </c>
      <c r="F504" s="2" t="s">
        <v>814</v>
      </c>
      <c r="G504" s="2" t="s">
        <v>48</v>
      </c>
      <c r="H504" s="23">
        <v>650</v>
      </c>
      <c r="I504" s="6">
        <v>999</v>
      </c>
      <c r="J504" s="1" t="s">
        <v>127</v>
      </c>
      <c r="K504" s="6">
        <v>0</v>
      </c>
      <c r="M504" s="70" t="str">
        <f>VLOOKUP(Table3[[#This Row],[Shop Name]],seller!A:A,1,0)</f>
        <v>Anukul Dresses</v>
      </c>
    </row>
    <row r="505" spans="1:13" x14ac:dyDescent="0.2">
      <c r="A505" s="2">
        <v>505</v>
      </c>
      <c r="B505" s="2" t="s">
        <v>954</v>
      </c>
      <c r="C505" s="2" t="s">
        <v>832</v>
      </c>
      <c r="D505" s="2" t="s">
        <v>978</v>
      </c>
      <c r="E505" s="2" t="s">
        <v>817</v>
      </c>
      <c r="F505" s="2" t="s">
        <v>814</v>
      </c>
      <c r="G505" s="2" t="s">
        <v>56</v>
      </c>
      <c r="H505" s="23">
        <v>650</v>
      </c>
      <c r="I505" s="6">
        <v>999</v>
      </c>
      <c r="J505" s="1" t="s">
        <v>163</v>
      </c>
      <c r="K505" s="6">
        <v>950</v>
      </c>
      <c r="L505" s="1" t="s">
        <v>919</v>
      </c>
      <c r="M505" s="70" t="str">
        <f>VLOOKUP(Table3[[#This Row],[Shop Name]],seller!A:A,1,0)</f>
        <v>Anukul Dresses</v>
      </c>
    </row>
    <row r="506" spans="1:13" ht="32" x14ac:dyDescent="0.2">
      <c r="A506" s="2">
        <v>506</v>
      </c>
      <c r="B506" s="2">
        <v>11</v>
      </c>
      <c r="C506" s="2" t="s">
        <v>53</v>
      </c>
      <c r="D506" s="2" t="s">
        <v>818</v>
      </c>
      <c r="E506" s="2" t="s">
        <v>7</v>
      </c>
      <c r="F506" s="2" t="s">
        <v>814</v>
      </c>
      <c r="G506" s="2" t="s">
        <v>48</v>
      </c>
      <c r="H506" s="23">
        <v>575</v>
      </c>
      <c r="I506" s="6">
        <v>900</v>
      </c>
      <c r="J506" s="1" t="s">
        <v>127</v>
      </c>
      <c r="K506" s="6">
        <v>0</v>
      </c>
      <c r="M506" s="70" t="str">
        <f>VLOOKUP(Table3[[#This Row],[Shop Name]],seller!A:A,1,0)</f>
        <v>Anukul Dresses</v>
      </c>
    </row>
    <row r="507" spans="1:13" ht="32" x14ac:dyDescent="0.2">
      <c r="A507" s="2">
        <v>507</v>
      </c>
      <c r="B507" s="2" t="s">
        <v>954</v>
      </c>
      <c r="C507" s="2" t="s">
        <v>53</v>
      </c>
      <c r="D507" s="2" t="s">
        <v>819</v>
      </c>
      <c r="E507" s="2" t="s">
        <v>7</v>
      </c>
      <c r="F507" s="2" t="s">
        <v>814</v>
      </c>
      <c r="G507" s="2" t="s">
        <v>56</v>
      </c>
      <c r="H507" s="23">
        <v>575</v>
      </c>
      <c r="I507" s="6">
        <v>900</v>
      </c>
      <c r="J507" s="1" t="s">
        <v>163</v>
      </c>
      <c r="K507" s="6">
        <v>800</v>
      </c>
      <c r="L507" s="1" t="s">
        <v>968</v>
      </c>
      <c r="M507" s="70" t="str">
        <f>VLOOKUP(Table3[[#This Row],[Shop Name]],seller!A:A,1,0)</f>
        <v>Anukul Dresses</v>
      </c>
    </row>
    <row r="508" spans="1:13" x14ac:dyDescent="0.2">
      <c r="A508" s="2">
        <v>508</v>
      </c>
      <c r="B508" s="2">
        <v>4</v>
      </c>
      <c r="C508" s="2" t="s">
        <v>43</v>
      </c>
      <c r="D508" s="56" t="s">
        <v>908</v>
      </c>
      <c r="E508" s="2" t="s">
        <v>7</v>
      </c>
      <c r="F508" s="2" t="s">
        <v>814</v>
      </c>
      <c r="G508" s="2" t="s">
        <v>54</v>
      </c>
      <c r="H508" s="23">
        <v>725</v>
      </c>
      <c r="I508" s="6">
        <v>1050</v>
      </c>
      <c r="J508" s="1" t="s">
        <v>127</v>
      </c>
      <c r="K508" s="6">
        <v>0</v>
      </c>
      <c r="M508" s="70" t="str">
        <f>VLOOKUP(Table3[[#This Row],[Shop Name]],seller!A:A,1,0)</f>
        <v>Anukul Dresses</v>
      </c>
    </row>
    <row r="509" spans="1:13" x14ac:dyDescent="0.2">
      <c r="A509" s="2">
        <v>509</v>
      </c>
      <c r="B509" s="2">
        <v>4</v>
      </c>
      <c r="C509" s="2" t="s">
        <v>43</v>
      </c>
      <c r="D509" s="56" t="s">
        <v>909</v>
      </c>
      <c r="E509" s="2" t="s">
        <v>7</v>
      </c>
      <c r="F509" s="2" t="s">
        <v>814</v>
      </c>
      <c r="G509" s="2" t="s">
        <v>54</v>
      </c>
      <c r="H509" s="23">
        <v>725</v>
      </c>
      <c r="I509" s="6">
        <v>1050</v>
      </c>
      <c r="J509" s="1" t="s">
        <v>127</v>
      </c>
      <c r="K509" s="6">
        <v>0</v>
      </c>
      <c r="M509" s="70" t="str">
        <f>VLOOKUP(Table3[[#This Row],[Shop Name]],seller!A:A,1,0)</f>
        <v>Anukul Dresses</v>
      </c>
    </row>
    <row r="510" spans="1:13" ht="32" x14ac:dyDescent="0.2">
      <c r="A510" s="2">
        <v>510</v>
      </c>
      <c r="B510" s="2">
        <v>2</v>
      </c>
      <c r="C510" s="2" t="s">
        <v>46</v>
      </c>
      <c r="D510" s="2" t="s">
        <v>823</v>
      </c>
      <c r="E510" s="2" t="s">
        <v>7</v>
      </c>
      <c r="F510" s="2" t="s">
        <v>814</v>
      </c>
      <c r="G510" s="2" t="s">
        <v>54</v>
      </c>
      <c r="H510" s="23">
        <v>315</v>
      </c>
      <c r="I510" s="6">
        <v>650</v>
      </c>
      <c r="J510" s="1" t="s">
        <v>127</v>
      </c>
      <c r="K510" s="6">
        <v>0</v>
      </c>
      <c r="M510" s="70" t="str">
        <f>VLOOKUP(Table3[[#This Row],[Shop Name]],seller!A:A,1,0)</f>
        <v>Anukul Dresses</v>
      </c>
    </row>
    <row r="511" spans="1:13" ht="32" x14ac:dyDescent="0.2">
      <c r="A511" s="2">
        <v>511</v>
      </c>
      <c r="B511" s="2">
        <v>2</v>
      </c>
      <c r="C511" s="2" t="s">
        <v>46</v>
      </c>
      <c r="D511" s="2" t="s">
        <v>824</v>
      </c>
      <c r="E511" s="2" t="s">
        <v>7</v>
      </c>
      <c r="F511" s="2" t="s">
        <v>814</v>
      </c>
      <c r="G511" s="2" t="s">
        <v>54</v>
      </c>
      <c r="H511" s="23">
        <v>315</v>
      </c>
      <c r="I511" s="6">
        <v>650</v>
      </c>
      <c r="J511" s="1" t="s">
        <v>127</v>
      </c>
      <c r="K511" s="6">
        <v>0</v>
      </c>
      <c r="M511" s="70" t="str">
        <f>VLOOKUP(Table3[[#This Row],[Shop Name]],seller!A:A,1,0)</f>
        <v>Anukul Dresses</v>
      </c>
    </row>
    <row r="512" spans="1:13" ht="32" x14ac:dyDescent="0.2">
      <c r="A512" s="2">
        <v>512</v>
      </c>
      <c r="B512" s="2" t="s">
        <v>885</v>
      </c>
      <c r="C512" s="2" t="s">
        <v>46</v>
      </c>
      <c r="D512" s="2" t="s">
        <v>825</v>
      </c>
      <c r="E512" s="2" t="s">
        <v>7</v>
      </c>
      <c r="F512" s="2" t="s">
        <v>814</v>
      </c>
      <c r="G512" s="2" t="s">
        <v>54</v>
      </c>
      <c r="H512" s="23">
        <v>315</v>
      </c>
      <c r="I512" s="6">
        <v>650</v>
      </c>
      <c r="J512" s="1" t="s">
        <v>163</v>
      </c>
      <c r="K512" s="6">
        <v>592</v>
      </c>
      <c r="L512" s="24" t="s">
        <v>552</v>
      </c>
      <c r="M512" s="70" t="str">
        <f>VLOOKUP(Table3[[#This Row],[Shop Name]],seller!A:A,1,0)</f>
        <v>Anukul Dresses</v>
      </c>
    </row>
    <row r="513" spans="1:13" ht="32" x14ac:dyDescent="0.2">
      <c r="A513" s="2">
        <v>513</v>
      </c>
      <c r="B513" s="2" t="s">
        <v>954</v>
      </c>
      <c r="C513" s="2" t="s">
        <v>46</v>
      </c>
      <c r="D513" s="2" t="s">
        <v>826</v>
      </c>
      <c r="E513" s="2" t="s">
        <v>7</v>
      </c>
      <c r="F513" s="2" t="s">
        <v>814</v>
      </c>
      <c r="G513" s="2" t="s">
        <v>54</v>
      </c>
      <c r="H513" s="23">
        <v>285</v>
      </c>
      <c r="I513" s="6">
        <v>599</v>
      </c>
      <c r="J513" s="1" t="s">
        <v>163</v>
      </c>
      <c r="K513" s="6">
        <v>550</v>
      </c>
      <c r="L513" s="1" t="s">
        <v>985</v>
      </c>
      <c r="M513" s="70" t="str">
        <f>VLOOKUP(Table3[[#This Row],[Shop Name]],seller!A:A,1,0)</f>
        <v>Anukul Dresses</v>
      </c>
    </row>
    <row r="514" spans="1:13" ht="32" x14ac:dyDescent="0.2">
      <c r="A514" s="2">
        <v>514</v>
      </c>
      <c r="B514" s="2">
        <v>1</v>
      </c>
      <c r="C514" s="2" t="s">
        <v>46</v>
      </c>
      <c r="D514" s="2" t="s">
        <v>827</v>
      </c>
      <c r="E514" s="2" t="s">
        <v>7</v>
      </c>
      <c r="F514" s="2" t="s">
        <v>814</v>
      </c>
      <c r="G514" s="2" t="s">
        <v>54</v>
      </c>
      <c r="H514" s="23">
        <v>285</v>
      </c>
      <c r="I514" s="6">
        <v>599</v>
      </c>
      <c r="J514" s="1" t="s">
        <v>127</v>
      </c>
      <c r="K514" s="6">
        <v>0</v>
      </c>
      <c r="M514" s="70" t="str">
        <f>VLOOKUP(Table3[[#This Row],[Shop Name]],seller!A:A,1,0)</f>
        <v>Anukul Dresses</v>
      </c>
    </row>
    <row r="515" spans="1:13" ht="32" x14ac:dyDescent="0.2">
      <c r="A515" s="2">
        <v>515</v>
      </c>
      <c r="B515" s="2" t="s">
        <v>954</v>
      </c>
      <c r="C515" s="2" t="s">
        <v>43</v>
      </c>
      <c r="D515" s="2" t="s">
        <v>828</v>
      </c>
      <c r="E515" s="2" t="s">
        <v>7</v>
      </c>
      <c r="F515" s="2" t="s">
        <v>814</v>
      </c>
      <c r="G515" s="2" t="s">
        <v>54</v>
      </c>
      <c r="H515" s="23">
        <v>580</v>
      </c>
      <c r="I515" s="6">
        <v>920</v>
      </c>
      <c r="J515" s="1" t="s">
        <v>163</v>
      </c>
      <c r="K515" s="6">
        <v>850</v>
      </c>
      <c r="L515" s="1" t="s">
        <v>989</v>
      </c>
      <c r="M515" s="70" t="str">
        <f>VLOOKUP(Table3[[#This Row],[Shop Name]],seller!A:A,1,0)</f>
        <v>Anukul Dresses</v>
      </c>
    </row>
    <row r="516" spans="1:13" ht="32" x14ac:dyDescent="0.2">
      <c r="A516" s="2">
        <v>516</v>
      </c>
      <c r="B516" s="2" t="s">
        <v>885</v>
      </c>
      <c r="C516" s="2" t="s">
        <v>43</v>
      </c>
      <c r="D516" s="2" t="s">
        <v>829</v>
      </c>
      <c r="E516" s="2" t="s">
        <v>7</v>
      </c>
      <c r="F516" s="2" t="s">
        <v>814</v>
      </c>
      <c r="G516" s="2" t="s">
        <v>54</v>
      </c>
      <c r="H516" s="23">
        <v>580</v>
      </c>
      <c r="I516" s="6">
        <v>920</v>
      </c>
      <c r="J516" s="1" t="s">
        <v>163</v>
      </c>
      <c r="K516" s="6">
        <v>900</v>
      </c>
      <c r="L516" s="60" t="s">
        <v>910</v>
      </c>
      <c r="M516" s="70" t="str">
        <f>VLOOKUP(Table3[[#This Row],[Shop Name]],seller!A:A,1,0)</f>
        <v>Anukul Dresses</v>
      </c>
    </row>
    <row r="517" spans="1:13" x14ac:dyDescent="0.2">
      <c r="A517" s="2">
        <v>517</v>
      </c>
      <c r="B517" s="2" t="s">
        <v>872</v>
      </c>
      <c r="C517" s="2" t="s">
        <v>830</v>
      </c>
      <c r="D517" s="2" t="s">
        <v>833</v>
      </c>
      <c r="E517" s="2" t="s">
        <v>642</v>
      </c>
      <c r="F517" s="2" t="s">
        <v>814</v>
      </c>
      <c r="G517" s="2" t="s">
        <v>267</v>
      </c>
      <c r="H517" s="23">
        <v>395</v>
      </c>
      <c r="I517" s="6">
        <v>600</v>
      </c>
      <c r="J517" s="1" t="s">
        <v>163</v>
      </c>
      <c r="K517" s="6">
        <v>500</v>
      </c>
      <c r="L517" s="1" t="s">
        <v>876</v>
      </c>
      <c r="M517" s="70" t="str">
        <f>VLOOKUP(Table3[[#This Row],[Shop Name]],seller!A:A,1,0)</f>
        <v>Anukul Dresses</v>
      </c>
    </row>
    <row r="518" spans="1:13" x14ac:dyDescent="0.2">
      <c r="A518" s="2">
        <v>518</v>
      </c>
      <c r="B518" s="2">
        <v>14</v>
      </c>
      <c r="C518" s="2" t="s">
        <v>830</v>
      </c>
      <c r="D518" s="2" t="s">
        <v>834</v>
      </c>
      <c r="E518" s="2" t="s">
        <v>642</v>
      </c>
      <c r="F518" s="2" t="s">
        <v>814</v>
      </c>
      <c r="G518" s="2" t="s">
        <v>267</v>
      </c>
      <c r="H518" s="23">
        <v>395</v>
      </c>
      <c r="I518" s="6">
        <v>600</v>
      </c>
      <c r="J518" s="1" t="s">
        <v>127</v>
      </c>
      <c r="K518" s="6">
        <v>0</v>
      </c>
      <c r="M518" s="70" t="str">
        <f>VLOOKUP(Table3[[#This Row],[Shop Name]],seller!A:A,1,0)</f>
        <v>Anukul Dresses</v>
      </c>
    </row>
    <row r="519" spans="1:13" ht="32" x14ac:dyDescent="0.2">
      <c r="A519" s="2">
        <v>519</v>
      </c>
      <c r="B519" s="2" t="s">
        <v>885</v>
      </c>
      <c r="C519" s="2" t="s">
        <v>830</v>
      </c>
      <c r="D519" s="2" t="s">
        <v>958</v>
      </c>
      <c r="E519" s="2" t="s">
        <v>642</v>
      </c>
      <c r="F519" s="2" t="s">
        <v>814</v>
      </c>
      <c r="G519" s="2" t="s">
        <v>267</v>
      </c>
      <c r="H519" s="23">
        <v>395</v>
      </c>
      <c r="I519" s="6">
        <v>600</v>
      </c>
      <c r="J519" s="1" t="s">
        <v>163</v>
      </c>
      <c r="K519" s="6">
        <v>500</v>
      </c>
      <c r="L519" s="24" t="s">
        <v>915</v>
      </c>
      <c r="M519" s="70" t="str">
        <f>VLOOKUP(Table3[[#This Row],[Shop Name]],seller!A:A,1,0)</f>
        <v>Anukul Dresses</v>
      </c>
    </row>
    <row r="520" spans="1:13" x14ac:dyDescent="0.2">
      <c r="A520" s="2">
        <v>520</v>
      </c>
      <c r="B520" s="2">
        <v>14</v>
      </c>
      <c r="C520" s="2" t="s">
        <v>830</v>
      </c>
      <c r="D520" s="2" t="s">
        <v>834</v>
      </c>
      <c r="E520" s="2" t="s">
        <v>642</v>
      </c>
      <c r="F520" s="2" t="s">
        <v>814</v>
      </c>
      <c r="G520" s="2" t="s">
        <v>267</v>
      </c>
      <c r="H520" s="23">
        <v>395</v>
      </c>
      <c r="I520" s="6">
        <v>600</v>
      </c>
      <c r="J520" s="1" t="s">
        <v>163</v>
      </c>
      <c r="K520" s="6">
        <v>395</v>
      </c>
      <c r="L520" s="1" t="s">
        <v>333</v>
      </c>
      <c r="M520" s="70" t="str">
        <f>VLOOKUP(Table3[[#This Row],[Shop Name]],seller!A:A,1,0)</f>
        <v>Anukul Dresses</v>
      </c>
    </row>
    <row r="521" spans="1:13" x14ac:dyDescent="0.2">
      <c r="A521" s="2">
        <v>521</v>
      </c>
      <c r="B521" s="2">
        <v>9</v>
      </c>
      <c r="C521" s="2" t="s">
        <v>582</v>
      </c>
      <c r="D521" s="2" t="s">
        <v>835</v>
      </c>
      <c r="E521" s="2" t="s">
        <v>614</v>
      </c>
      <c r="F521" s="2" t="s">
        <v>814</v>
      </c>
      <c r="G521" s="2" t="s">
        <v>54</v>
      </c>
      <c r="H521" s="23">
        <v>775</v>
      </c>
      <c r="I521" s="6">
        <v>1130</v>
      </c>
      <c r="J521" s="1" t="s">
        <v>127</v>
      </c>
      <c r="K521" s="6">
        <v>0</v>
      </c>
      <c r="M521" s="70" t="str">
        <f>VLOOKUP(Table3[[#This Row],[Shop Name]],seller!A:A,1,0)</f>
        <v>Anukul Dresses</v>
      </c>
    </row>
    <row r="522" spans="1:13" x14ac:dyDescent="0.2">
      <c r="A522" s="2">
        <v>522</v>
      </c>
      <c r="B522" s="2">
        <v>9</v>
      </c>
      <c r="C522" s="2" t="s">
        <v>582</v>
      </c>
      <c r="D522" s="2" t="s">
        <v>836</v>
      </c>
      <c r="E522" s="2" t="s">
        <v>614</v>
      </c>
      <c r="F522" s="2" t="s">
        <v>814</v>
      </c>
      <c r="G522" s="2" t="s">
        <v>48</v>
      </c>
      <c r="H522" s="23">
        <v>775</v>
      </c>
      <c r="I522" s="6">
        <v>1130</v>
      </c>
      <c r="J522" s="1" t="s">
        <v>127</v>
      </c>
      <c r="K522" s="6">
        <v>0</v>
      </c>
      <c r="M522" s="70" t="str">
        <f>VLOOKUP(Table3[[#This Row],[Shop Name]],seller!A:A,1,0)</f>
        <v>Anukul Dresses</v>
      </c>
    </row>
    <row r="523" spans="1:13" ht="32" x14ac:dyDescent="0.2">
      <c r="A523" s="2">
        <v>523</v>
      </c>
      <c r="B523" s="2">
        <v>12</v>
      </c>
      <c r="C523" s="2" t="s">
        <v>634</v>
      </c>
      <c r="D523" s="2" t="s">
        <v>831</v>
      </c>
      <c r="E523" s="2" t="s">
        <v>60</v>
      </c>
      <c r="F523" s="2" t="s">
        <v>814</v>
      </c>
      <c r="G523" s="2" t="s">
        <v>54</v>
      </c>
      <c r="H523" s="23">
        <v>1250</v>
      </c>
      <c r="I523" s="6">
        <v>1550</v>
      </c>
      <c r="J523" s="1" t="s">
        <v>127</v>
      </c>
      <c r="K523" s="6">
        <v>0</v>
      </c>
      <c r="M523" s="70" t="str">
        <f>VLOOKUP(Table3[[#This Row],[Shop Name]],seller!A:A,1,0)</f>
        <v>Anukul Dresses</v>
      </c>
    </row>
    <row r="524" spans="1:13" ht="32" x14ac:dyDescent="0.2">
      <c r="A524" s="2">
        <v>524</v>
      </c>
      <c r="B524" s="2" t="s">
        <v>885</v>
      </c>
      <c r="C524" s="2" t="s">
        <v>634</v>
      </c>
      <c r="D524" s="2" t="s">
        <v>831</v>
      </c>
      <c r="E524" s="2" t="s">
        <v>60</v>
      </c>
      <c r="F524" s="2" t="s">
        <v>814</v>
      </c>
      <c r="G524" s="2" t="s">
        <v>48</v>
      </c>
      <c r="H524" s="23">
        <v>1250</v>
      </c>
      <c r="I524" s="6">
        <v>1550</v>
      </c>
      <c r="J524" s="1" t="s">
        <v>163</v>
      </c>
      <c r="K524" s="6">
        <v>1450</v>
      </c>
      <c r="L524" s="24" t="s">
        <v>888</v>
      </c>
      <c r="M524" s="70" t="str">
        <f>VLOOKUP(Table3[[#This Row],[Shop Name]],seller!A:A,1,0)</f>
        <v>Anukul Dresses</v>
      </c>
    </row>
    <row r="525" spans="1:13" x14ac:dyDescent="0.2">
      <c r="A525" s="2">
        <v>525</v>
      </c>
      <c r="B525" s="2"/>
      <c r="C525" s="2" t="s">
        <v>43</v>
      </c>
      <c r="D525" s="2" t="s">
        <v>837</v>
      </c>
      <c r="E525" s="2" t="s">
        <v>7</v>
      </c>
      <c r="F525" s="2" t="s">
        <v>814</v>
      </c>
      <c r="G525" s="2" t="s">
        <v>54</v>
      </c>
      <c r="H525" s="23">
        <v>540</v>
      </c>
      <c r="I525" s="6">
        <v>899</v>
      </c>
      <c r="J525" s="1" t="s">
        <v>127</v>
      </c>
      <c r="K525" s="6">
        <v>0</v>
      </c>
      <c r="M525" s="70" t="str">
        <f>VLOOKUP(Table3[[#This Row],[Shop Name]],seller!A:A,1,0)</f>
        <v>Anukul Dresses</v>
      </c>
    </row>
    <row r="526" spans="1:13" x14ac:dyDescent="0.2">
      <c r="A526" s="2">
        <v>526</v>
      </c>
      <c r="B526" s="2">
        <v>6</v>
      </c>
      <c r="C526" s="2" t="s">
        <v>43</v>
      </c>
      <c r="D526" s="2" t="s">
        <v>838</v>
      </c>
      <c r="E526" s="2" t="s">
        <v>7</v>
      </c>
      <c r="F526" s="2" t="s">
        <v>814</v>
      </c>
      <c r="G526" s="2" t="s">
        <v>54</v>
      </c>
      <c r="H526" s="23">
        <v>540</v>
      </c>
      <c r="I526" s="6">
        <v>899</v>
      </c>
      <c r="J526" s="1" t="s">
        <v>127</v>
      </c>
      <c r="K526" s="6">
        <v>0</v>
      </c>
      <c r="M526" s="70" t="str">
        <f>VLOOKUP(Table3[[#This Row],[Shop Name]],seller!A:A,1,0)</f>
        <v>Anukul Dresses</v>
      </c>
    </row>
    <row r="527" spans="1:13" x14ac:dyDescent="0.2">
      <c r="A527" s="2">
        <v>527</v>
      </c>
      <c r="B527" s="2">
        <v>8</v>
      </c>
      <c r="C527" s="2" t="s">
        <v>832</v>
      </c>
      <c r="D527" s="2" t="s">
        <v>839</v>
      </c>
      <c r="E527" s="2" t="s">
        <v>7</v>
      </c>
      <c r="F527" s="2" t="s">
        <v>814</v>
      </c>
      <c r="G527" s="2" t="s">
        <v>54</v>
      </c>
      <c r="H527" s="23">
        <v>560</v>
      </c>
      <c r="I527" s="6">
        <v>899</v>
      </c>
      <c r="J527" s="1" t="s">
        <v>127</v>
      </c>
      <c r="K527" s="6">
        <v>0</v>
      </c>
      <c r="M527" s="70" t="str">
        <f>VLOOKUP(Table3[[#This Row],[Shop Name]],seller!A:A,1,0)</f>
        <v>Anukul Dresses</v>
      </c>
    </row>
    <row r="528" spans="1:13" x14ac:dyDescent="0.2">
      <c r="A528" s="2">
        <v>528</v>
      </c>
      <c r="B528" s="2" t="s">
        <v>954</v>
      </c>
      <c r="C528" s="2" t="s">
        <v>832</v>
      </c>
      <c r="D528" s="2" t="s">
        <v>840</v>
      </c>
      <c r="E528" s="2" t="s">
        <v>7</v>
      </c>
      <c r="F528" s="2" t="s">
        <v>814</v>
      </c>
      <c r="G528" s="2" t="s">
        <v>54</v>
      </c>
      <c r="H528" s="23">
        <v>560</v>
      </c>
      <c r="I528" s="6">
        <v>899</v>
      </c>
      <c r="J528" s="1" t="s">
        <v>163</v>
      </c>
      <c r="K528" s="6">
        <v>850</v>
      </c>
      <c r="L528" s="1" t="s">
        <v>798</v>
      </c>
      <c r="M528" s="70" t="str">
        <f>VLOOKUP(Table3[[#This Row],[Shop Name]],seller!A:A,1,0)</f>
        <v>Anukul Dresses</v>
      </c>
    </row>
    <row r="529" spans="1:13" x14ac:dyDescent="0.2">
      <c r="A529" s="2">
        <v>529</v>
      </c>
      <c r="B529" s="2">
        <v>7</v>
      </c>
      <c r="C529" s="2" t="s">
        <v>582</v>
      </c>
      <c r="D529" s="2" t="s">
        <v>841</v>
      </c>
      <c r="E529" s="2" t="s">
        <v>7</v>
      </c>
      <c r="F529" s="2" t="s">
        <v>814</v>
      </c>
      <c r="G529" s="2" t="s">
        <v>54</v>
      </c>
      <c r="H529" s="23">
        <v>780</v>
      </c>
      <c r="I529" s="6">
        <v>1130</v>
      </c>
      <c r="J529" s="1" t="s">
        <v>127</v>
      </c>
      <c r="K529" s="6">
        <v>0</v>
      </c>
      <c r="M529" s="70" t="str">
        <f>VLOOKUP(Table3[[#This Row],[Shop Name]],seller!A:A,1,0)</f>
        <v>Anukul Dresses</v>
      </c>
    </row>
    <row r="530" spans="1:13" x14ac:dyDescent="0.2">
      <c r="A530" s="2">
        <v>530</v>
      </c>
      <c r="B530" s="2">
        <v>7</v>
      </c>
      <c r="C530" s="2" t="s">
        <v>582</v>
      </c>
      <c r="D530" s="2" t="s">
        <v>842</v>
      </c>
      <c r="E530" s="2" t="s">
        <v>7</v>
      </c>
      <c r="F530" s="2" t="s">
        <v>814</v>
      </c>
      <c r="G530" s="2" t="s">
        <v>54</v>
      </c>
      <c r="H530" s="23">
        <v>780</v>
      </c>
      <c r="I530" s="6">
        <v>1130</v>
      </c>
      <c r="J530" s="1" t="s">
        <v>127</v>
      </c>
      <c r="K530" s="6">
        <v>0</v>
      </c>
      <c r="M530" s="70" t="str">
        <f>VLOOKUP(Table3[[#This Row],[Shop Name]],seller!A:A,1,0)</f>
        <v>Anukul Dresses</v>
      </c>
    </row>
    <row r="531" spans="1:13" ht="17" x14ac:dyDescent="0.2">
      <c r="A531" s="2">
        <v>531</v>
      </c>
      <c r="B531" s="2">
        <v>5</v>
      </c>
      <c r="C531" s="2" t="s">
        <v>55</v>
      </c>
      <c r="D531" s="2" t="s">
        <v>844</v>
      </c>
      <c r="E531" s="2" t="s">
        <v>7</v>
      </c>
      <c r="F531" s="5" t="s">
        <v>816</v>
      </c>
      <c r="G531" s="2" t="s">
        <v>49</v>
      </c>
      <c r="H531" s="23">
        <v>120</v>
      </c>
      <c r="I531" s="6">
        <v>399</v>
      </c>
      <c r="J531" s="1" t="s">
        <v>127</v>
      </c>
      <c r="K531" s="6">
        <v>0</v>
      </c>
      <c r="M531" s="70" t="str">
        <f>VLOOKUP(Table3[[#This Row],[Shop Name]],seller!A:A,1,0)</f>
        <v>Ridhi Sidhi Fashion</v>
      </c>
    </row>
    <row r="532" spans="1:13" ht="17" x14ac:dyDescent="0.2">
      <c r="A532" s="2">
        <v>532</v>
      </c>
      <c r="B532" s="2">
        <v>5</v>
      </c>
      <c r="C532" s="2" t="s">
        <v>55</v>
      </c>
      <c r="D532" s="2" t="s">
        <v>845</v>
      </c>
      <c r="E532" s="2" t="s">
        <v>7</v>
      </c>
      <c r="F532" s="57" t="s">
        <v>816</v>
      </c>
      <c r="G532" s="2" t="s">
        <v>49</v>
      </c>
      <c r="H532" s="23">
        <v>120</v>
      </c>
      <c r="I532" s="6">
        <v>399</v>
      </c>
      <c r="J532" s="1" t="s">
        <v>127</v>
      </c>
      <c r="K532" s="6">
        <v>0</v>
      </c>
      <c r="M532" s="70" t="str">
        <f>VLOOKUP(Table3[[#This Row],[Shop Name]],seller!A:A,1,0)</f>
        <v>Ridhi Sidhi Fashion</v>
      </c>
    </row>
    <row r="533" spans="1:13" ht="17" x14ac:dyDescent="0.2">
      <c r="A533" s="2">
        <v>533</v>
      </c>
      <c r="B533" s="2">
        <v>5</v>
      </c>
      <c r="C533" s="2" t="s">
        <v>55</v>
      </c>
      <c r="D533" s="2" t="s">
        <v>846</v>
      </c>
      <c r="E533" s="2" t="s">
        <v>7</v>
      </c>
      <c r="F533" s="58" t="s">
        <v>816</v>
      </c>
      <c r="G533" s="2" t="s">
        <v>49</v>
      </c>
      <c r="H533" s="23">
        <v>120</v>
      </c>
      <c r="I533" s="6">
        <v>399</v>
      </c>
      <c r="J533" s="1" t="s">
        <v>127</v>
      </c>
      <c r="K533" s="6">
        <v>0</v>
      </c>
      <c r="M533" s="70" t="str">
        <f>VLOOKUP(Table3[[#This Row],[Shop Name]],seller!A:A,1,0)</f>
        <v>Ridhi Sidhi Fashion</v>
      </c>
    </row>
    <row r="534" spans="1:13" ht="17" x14ac:dyDescent="0.2">
      <c r="A534" s="2">
        <v>534</v>
      </c>
      <c r="B534" s="2">
        <v>5</v>
      </c>
      <c r="C534" s="2" t="s">
        <v>55</v>
      </c>
      <c r="D534" s="2" t="s">
        <v>847</v>
      </c>
      <c r="E534" s="2" t="s">
        <v>7</v>
      </c>
      <c r="F534" s="3" t="s">
        <v>816</v>
      </c>
      <c r="G534" s="2" t="s">
        <v>49</v>
      </c>
      <c r="H534" s="23">
        <v>120</v>
      </c>
      <c r="I534" s="6">
        <v>399</v>
      </c>
      <c r="J534" s="1" t="s">
        <v>127</v>
      </c>
      <c r="K534" s="6">
        <v>0</v>
      </c>
      <c r="M534" s="70" t="str">
        <f>VLOOKUP(Table3[[#This Row],[Shop Name]],seller!A:A,1,0)</f>
        <v>Ridhi Sidhi Fashion</v>
      </c>
    </row>
    <row r="535" spans="1:13" ht="32" x14ac:dyDescent="0.2">
      <c r="A535" s="2">
        <v>535</v>
      </c>
      <c r="B535" s="2">
        <v>4</v>
      </c>
      <c r="C535" s="2" t="s">
        <v>46</v>
      </c>
      <c r="D535" s="2" t="s">
        <v>848</v>
      </c>
      <c r="E535" s="2" t="s">
        <v>843</v>
      </c>
      <c r="F535" s="3" t="s">
        <v>816</v>
      </c>
      <c r="G535" s="2" t="s">
        <v>54</v>
      </c>
      <c r="H535" s="23">
        <v>450</v>
      </c>
      <c r="I535" s="6">
        <v>799</v>
      </c>
      <c r="J535" s="1" t="s">
        <v>127</v>
      </c>
      <c r="K535" s="6">
        <v>0</v>
      </c>
      <c r="M535" s="70" t="str">
        <f>VLOOKUP(Table3[[#This Row],[Shop Name]],seller!A:A,1,0)</f>
        <v>Ridhi Sidhi Fashion</v>
      </c>
    </row>
    <row r="536" spans="1:13" ht="32" x14ac:dyDescent="0.2">
      <c r="A536" s="2">
        <v>536</v>
      </c>
      <c r="B536" s="2">
        <v>1</v>
      </c>
      <c r="C536" s="2" t="s">
        <v>46</v>
      </c>
      <c r="D536" s="2" t="s">
        <v>849</v>
      </c>
      <c r="E536" s="2" t="s">
        <v>249</v>
      </c>
      <c r="F536" s="3" t="s">
        <v>816</v>
      </c>
      <c r="G536" s="2" t="s">
        <v>44</v>
      </c>
      <c r="H536" s="23">
        <v>410</v>
      </c>
      <c r="I536" s="6">
        <v>760</v>
      </c>
      <c r="J536" s="1" t="s">
        <v>127</v>
      </c>
      <c r="K536" s="6">
        <v>0</v>
      </c>
      <c r="M536" s="70" t="str">
        <f>VLOOKUP(Table3[[#This Row],[Shop Name]],seller!A:A,1,0)</f>
        <v>Ridhi Sidhi Fashion</v>
      </c>
    </row>
    <row r="537" spans="1:13" ht="32" x14ac:dyDescent="0.2">
      <c r="A537" s="2">
        <v>537</v>
      </c>
      <c r="B537" s="2">
        <v>1</v>
      </c>
      <c r="C537" s="2" t="s">
        <v>46</v>
      </c>
      <c r="D537" s="2" t="s">
        <v>849</v>
      </c>
      <c r="E537" s="2" t="s">
        <v>249</v>
      </c>
      <c r="F537" s="58" t="s">
        <v>816</v>
      </c>
      <c r="G537" s="2" t="s">
        <v>44</v>
      </c>
      <c r="H537" s="23">
        <v>410</v>
      </c>
      <c r="I537" s="6">
        <v>760</v>
      </c>
      <c r="J537" s="1" t="s">
        <v>127</v>
      </c>
      <c r="K537" s="6">
        <v>0</v>
      </c>
      <c r="M537" s="70" t="str">
        <f>VLOOKUP(Table3[[#This Row],[Shop Name]],seller!A:A,1,0)</f>
        <v>Ridhi Sidhi Fashion</v>
      </c>
    </row>
    <row r="538" spans="1:13" ht="32" x14ac:dyDescent="0.2">
      <c r="A538" s="2">
        <v>538</v>
      </c>
      <c r="B538" s="2" t="s">
        <v>872</v>
      </c>
      <c r="C538" s="2" t="s">
        <v>46</v>
      </c>
      <c r="D538" s="2" t="s">
        <v>853</v>
      </c>
      <c r="E538" s="2" t="s">
        <v>7</v>
      </c>
      <c r="F538" s="3" t="s">
        <v>816</v>
      </c>
      <c r="G538" s="2" t="s">
        <v>48</v>
      </c>
      <c r="H538" s="23">
        <v>410</v>
      </c>
      <c r="I538" s="6">
        <v>760</v>
      </c>
      <c r="J538" s="1" t="s">
        <v>163</v>
      </c>
      <c r="K538" s="6">
        <v>650</v>
      </c>
      <c r="L538" s="1" t="s">
        <v>879</v>
      </c>
      <c r="M538" s="70" t="str">
        <f>VLOOKUP(Table3[[#This Row],[Shop Name]],seller!A:A,1,0)</f>
        <v>Ridhi Sidhi Fashion</v>
      </c>
    </row>
    <row r="539" spans="1:13" ht="32" x14ac:dyDescent="0.2">
      <c r="A539" s="2">
        <v>539</v>
      </c>
      <c r="B539" s="2" t="s">
        <v>954</v>
      </c>
      <c r="C539" s="2" t="s">
        <v>46</v>
      </c>
      <c r="D539" s="2" t="s">
        <v>854</v>
      </c>
      <c r="E539" s="2" t="s">
        <v>7</v>
      </c>
      <c r="F539" s="3" t="s">
        <v>816</v>
      </c>
      <c r="G539" s="2" t="s">
        <v>48</v>
      </c>
      <c r="H539" s="23">
        <v>410</v>
      </c>
      <c r="I539" s="6">
        <v>760</v>
      </c>
      <c r="J539" s="1" t="s">
        <v>163</v>
      </c>
      <c r="K539" s="6">
        <v>740</v>
      </c>
      <c r="L539" s="1" t="s">
        <v>976</v>
      </c>
      <c r="M539" s="70" t="str">
        <f>VLOOKUP(Table3[[#This Row],[Shop Name]],seller!A:A,1,0)</f>
        <v>Ridhi Sidhi Fashion</v>
      </c>
    </row>
    <row r="540" spans="1:13" ht="17" x14ac:dyDescent="0.2">
      <c r="A540" s="2">
        <v>540</v>
      </c>
      <c r="B540" s="2">
        <v>3</v>
      </c>
      <c r="C540" s="2" t="s">
        <v>634</v>
      </c>
      <c r="D540" s="2" t="s">
        <v>850</v>
      </c>
      <c r="E540" s="2" t="s">
        <v>520</v>
      </c>
      <c r="F540" s="3" t="s">
        <v>816</v>
      </c>
      <c r="G540" s="2" t="s">
        <v>48</v>
      </c>
      <c r="H540" s="23">
        <v>650</v>
      </c>
      <c r="I540" s="6">
        <v>999</v>
      </c>
      <c r="J540" s="1" t="s">
        <v>127</v>
      </c>
      <c r="K540" s="6">
        <v>0</v>
      </c>
      <c r="M540" s="70" t="str">
        <f>VLOOKUP(Table3[[#This Row],[Shop Name]],seller!A:A,1,0)</f>
        <v>Ridhi Sidhi Fashion</v>
      </c>
    </row>
    <row r="541" spans="1:13" ht="32" x14ac:dyDescent="0.2">
      <c r="A541" s="2">
        <v>541</v>
      </c>
      <c r="B541" s="2" t="s">
        <v>885</v>
      </c>
      <c r="C541" s="2" t="s">
        <v>634</v>
      </c>
      <c r="D541" s="2" t="s">
        <v>850</v>
      </c>
      <c r="E541" s="2" t="s">
        <v>520</v>
      </c>
      <c r="F541" s="3" t="s">
        <v>816</v>
      </c>
      <c r="G541" s="2" t="s">
        <v>48</v>
      </c>
      <c r="H541" s="23">
        <v>650</v>
      </c>
      <c r="I541" s="6">
        <v>999</v>
      </c>
      <c r="J541" s="1" t="s">
        <v>163</v>
      </c>
      <c r="K541" s="6">
        <v>941</v>
      </c>
      <c r="L541" s="24" t="s">
        <v>552</v>
      </c>
      <c r="M541" s="70" t="str">
        <f>VLOOKUP(Table3[[#This Row],[Shop Name]],seller!A:A,1,0)</f>
        <v>Ridhi Sidhi Fashion</v>
      </c>
    </row>
    <row r="542" spans="1:13" ht="32" x14ac:dyDescent="0.2">
      <c r="A542" s="2">
        <v>542</v>
      </c>
      <c r="B542" s="2">
        <v>6</v>
      </c>
      <c r="C542" s="2" t="s">
        <v>46</v>
      </c>
      <c r="D542" s="2" t="s">
        <v>851</v>
      </c>
      <c r="E542" s="2" t="s">
        <v>614</v>
      </c>
      <c r="F542" s="3" t="s">
        <v>816</v>
      </c>
      <c r="G542" s="2" t="s">
        <v>341</v>
      </c>
      <c r="H542" s="23">
        <v>390</v>
      </c>
      <c r="I542" s="6">
        <v>750</v>
      </c>
      <c r="J542" s="1" t="s">
        <v>127</v>
      </c>
      <c r="K542" s="6">
        <v>0</v>
      </c>
      <c r="M542" s="70" t="str">
        <f>VLOOKUP(Table3[[#This Row],[Shop Name]],seller!A:A,1,0)</f>
        <v>Ridhi Sidhi Fashion</v>
      </c>
    </row>
    <row r="543" spans="1:13" ht="32" x14ac:dyDescent="0.2">
      <c r="A543" s="2">
        <v>543</v>
      </c>
      <c r="B543" s="2">
        <v>6</v>
      </c>
      <c r="C543" s="2" t="s">
        <v>46</v>
      </c>
      <c r="D543" s="2" t="s">
        <v>852</v>
      </c>
      <c r="E543" s="2" t="s">
        <v>614</v>
      </c>
      <c r="F543" s="3" t="s">
        <v>816</v>
      </c>
      <c r="G543" s="2" t="s">
        <v>56</v>
      </c>
      <c r="H543" s="23">
        <v>390</v>
      </c>
      <c r="I543" s="6">
        <v>750</v>
      </c>
      <c r="J543" s="1" t="s">
        <v>127</v>
      </c>
      <c r="K543" s="6">
        <v>0</v>
      </c>
      <c r="M543" s="70" t="str">
        <f>VLOOKUP(Table3[[#This Row],[Shop Name]],seller!A:A,1,0)</f>
        <v>Ridhi Sidhi Fashion</v>
      </c>
    </row>
    <row r="544" spans="1:13" ht="17" x14ac:dyDescent="0.2">
      <c r="A544" s="2">
        <v>544</v>
      </c>
      <c r="B544" s="2">
        <v>2</v>
      </c>
      <c r="C544" s="2" t="s">
        <v>55</v>
      </c>
      <c r="D544" s="2" t="s">
        <v>874</v>
      </c>
      <c r="E544" s="2" t="s">
        <v>7</v>
      </c>
      <c r="F544" s="3" t="s">
        <v>816</v>
      </c>
      <c r="G544" s="2" t="s">
        <v>54</v>
      </c>
      <c r="H544" s="23">
        <v>250</v>
      </c>
      <c r="I544" s="6">
        <v>499</v>
      </c>
      <c r="J544" s="1" t="s">
        <v>127</v>
      </c>
      <c r="K544" s="6">
        <v>0</v>
      </c>
      <c r="M544" s="70" t="str">
        <f>VLOOKUP(Table3[[#This Row],[Shop Name]],seller!A:A,1,0)</f>
        <v>Ridhi Sidhi Fashion</v>
      </c>
    </row>
    <row r="545" spans="1:13" ht="17" x14ac:dyDescent="0.2">
      <c r="A545" s="2">
        <v>545</v>
      </c>
      <c r="B545" s="2" t="s">
        <v>954</v>
      </c>
      <c r="C545" s="2" t="s">
        <v>55</v>
      </c>
      <c r="D545" s="2" t="s">
        <v>874</v>
      </c>
      <c r="E545" s="2" t="s">
        <v>7</v>
      </c>
      <c r="F545" s="3" t="s">
        <v>816</v>
      </c>
      <c r="G545" s="2" t="s">
        <v>54</v>
      </c>
      <c r="H545" s="23">
        <v>250</v>
      </c>
      <c r="I545" s="6">
        <v>499</v>
      </c>
      <c r="J545" s="1" t="s">
        <v>163</v>
      </c>
      <c r="K545" s="6">
        <v>450</v>
      </c>
      <c r="L545" s="1" t="s">
        <v>964</v>
      </c>
      <c r="M545" s="70" t="str">
        <f>VLOOKUP(Table3[[#This Row],[Shop Name]],seller!A:A,1,0)</f>
        <v>Ridhi Sidhi Fashion</v>
      </c>
    </row>
    <row r="546" spans="1:13" x14ac:dyDescent="0.2">
      <c r="A546" s="2">
        <v>546</v>
      </c>
      <c r="B546" s="2" t="s">
        <v>872</v>
      </c>
      <c r="C546" s="2" t="s">
        <v>795</v>
      </c>
      <c r="D546" s="2" t="s">
        <v>709</v>
      </c>
      <c r="E546" s="2" t="s">
        <v>708</v>
      </c>
      <c r="F546" s="2" t="s">
        <v>566</v>
      </c>
      <c r="G546" s="2" t="s">
        <v>54</v>
      </c>
      <c r="H546" s="23">
        <v>800</v>
      </c>
      <c r="I546" s="6">
        <v>1150</v>
      </c>
      <c r="J546" s="1" t="s">
        <v>163</v>
      </c>
      <c r="K546" s="6">
        <v>1100</v>
      </c>
      <c r="L546" s="1" t="s">
        <v>875</v>
      </c>
      <c r="M546" s="70" t="str">
        <f>VLOOKUP(Table3[[#This Row],[Shop Name]],seller!A:A,1,0)</f>
        <v>Kaaruk Fashion</v>
      </c>
    </row>
    <row r="547" spans="1:13" x14ac:dyDescent="0.2">
      <c r="A547" s="2">
        <v>547</v>
      </c>
      <c r="B547" s="2" t="s">
        <v>954</v>
      </c>
      <c r="C547" s="2" t="s">
        <v>795</v>
      </c>
      <c r="D547" s="2" t="s">
        <v>709</v>
      </c>
      <c r="E547" s="2" t="s">
        <v>708</v>
      </c>
      <c r="F547" s="2" t="s">
        <v>566</v>
      </c>
      <c r="G547" s="2" t="s">
        <v>54</v>
      </c>
      <c r="H547" s="23">
        <v>800</v>
      </c>
      <c r="I547" s="6">
        <v>1150</v>
      </c>
      <c r="J547" s="1" t="s">
        <v>163</v>
      </c>
      <c r="K547" s="6">
        <v>1100</v>
      </c>
      <c r="L547" s="1" t="s">
        <v>955</v>
      </c>
      <c r="M547" s="70" t="str">
        <f>VLOOKUP(Table3[[#This Row],[Shop Name]],seller!A:A,1,0)</f>
        <v>Kaaruk Fashion</v>
      </c>
    </row>
    <row r="548" spans="1:13" ht="32" x14ac:dyDescent="0.2">
      <c r="A548" s="2">
        <v>548</v>
      </c>
      <c r="B548" s="2" t="s">
        <v>885</v>
      </c>
      <c r="C548" s="2" t="s">
        <v>795</v>
      </c>
      <c r="D548" s="2" t="s">
        <v>709</v>
      </c>
      <c r="E548" s="2" t="s">
        <v>708</v>
      </c>
      <c r="F548" s="2" t="s">
        <v>566</v>
      </c>
      <c r="G548" s="2" t="s">
        <v>285</v>
      </c>
      <c r="H548" s="23">
        <v>800</v>
      </c>
      <c r="I548" s="6">
        <v>1150</v>
      </c>
      <c r="J548" s="1" t="s">
        <v>163</v>
      </c>
      <c r="K548" s="6">
        <v>1100</v>
      </c>
      <c r="L548" s="24" t="s">
        <v>912</v>
      </c>
      <c r="M548" s="70" t="str">
        <f>VLOOKUP(Table3[[#This Row],[Shop Name]],seller!A:A,1,0)</f>
        <v>Kaaruk Fashion</v>
      </c>
    </row>
    <row r="549" spans="1:13" x14ac:dyDescent="0.2">
      <c r="A549" s="2">
        <v>549</v>
      </c>
      <c r="B549" s="2">
        <v>1</v>
      </c>
      <c r="C549" s="2" t="s">
        <v>795</v>
      </c>
      <c r="D549" s="2" t="s">
        <v>857</v>
      </c>
      <c r="E549" s="2" t="s">
        <v>708</v>
      </c>
      <c r="F549" s="2" t="s">
        <v>566</v>
      </c>
      <c r="G549" s="2" t="s">
        <v>54</v>
      </c>
      <c r="H549" s="23">
        <v>800</v>
      </c>
      <c r="I549" s="6">
        <v>1150</v>
      </c>
      <c r="J549" s="1" t="s">
        <v>127</v>
      </c>
      <c r="K549" s="6">
        <v>0</v>
      </c>
      <c r="M549" s="70" t="str">
        <f>VLOOKUP(Table3[[#This Row],[Shop Name]],seller!A:A,1,0)</f>
        <v>Kaaruk Fashion</v>
      </c>
    </row>
    <row r="550" spans="1:13" ht="32" x14ac:dyDescent="0.2">
      <c r="A550" s="2">
        <v>550</v>
      </c>
      <c r="B550" s="2" t="s">
        <v>885</v>
      </c>
      <c r="C550" s="2" t="s">
        <v>795</v>
      </c>
      <c r="D550" s="2" t="s">
        <v>857</v>
      </c>
      <c r="E550" s="2" t="s">
        <v>708</v>
      </c>
      <c r="F550" s="2" t="s">
        <v>566</v>
      </c>
      <c r="G550" s="2" t="s">
        <v>48</v>
      </c>
      <c r="H550" s="23">
        <v>800</v>
      </c>
      <c r="I550" s="6">
        <v>1150</v>
      </c>
      <c r="J550" s="1" t="s">
        <v>163</v>
      </c>
      <c r="K550" s="6">
        <v>1100</v>
      </c>
      <c r="L550" s="24" t="s">
        <v>329</v>
      </c>
      <c r="M550" s="70" t="str">
        <f>VLOOKUP(Table3[[#This Row],[Shop Name]],seller!A:A,1,0)</f>
        <v>Kaaruk Fashion</v>
      </c>
    </row>
    <row r="551" spans="1:13" ht="32" x14ac:dyDescent="0.2">
      <c r="A551" s="2">
        <v>551</v>
      </c>
      <c r="B551" s="2" t="s">
        <v>885</v>
      </c>
      <c r="C551" s="2" t="s">
        <v>795</v>
      </c>
      <c r="D551" s="2" t="s">
        <v>857</v>
      </c>
      <c r="E551" s="2" t="s">
        <v>708</v>
      </c>
      <c r="F551" s="2" t="s">
        <v>566</v>
      </c>
      <c r="G551" s="2" t="s">
        <v>285</v>
      </c>
      <c r="H551" s="23">
        <v>800</v>
      </c>
      <c r="I551" s="6">
        <v>1150</v>
      </c>
      <c r="J551" s="1" t="s">
        <v>163</v>
      </c>
      <c r="K551" s="6">
        <v>1101</v>
      </c>
      <c r="L551" s="24" t="s">
        <v>721</v>
      </c>
      <c r="M551" s="70" t="str">
        <f>VLOOKUP(Table3[[#This Row],[Shop Name]],seller!A:A,1,0)</f>
        <v>Kaaruk Fashion</v>
      </c>
    </row>
    <row r="552" spans="1:13" x14ac:dyDescent="0.2">
      <c r="A552" s="2">
        <v>552</v>
      </c>
      <c r="B552" s="2" t="s">
        <v>954</v>
      </c>
      <c r="C552" s="2" t="s">
        <v>795</v>
      </c>
      <c r="D552" s="2" t="s">
        <v>858</v>
      </c>
      <c r="E552" s="2" t="s">
        <v>708</v>
      </c>
      <c r="F552" s="2" t="s">
        <v>566</v>
      </c>
      <c r="G552" s="2" t="s">
        <v>48</v>
      </c>
      <c r="H552" s="23">
        <v>800</v>
      </c>
      <c r="I552" s="6">
        <v>1150</v>
      </c>
      <c r="J552" s="1" t="s">
        <v>127</v>
      </c>
      <c r="K552" s="6">
        <v>1100</v>
      </c>
      <c r="L552" s="1" t="s">
        <v>968</v>
      </c>
      <c r="M552" s="70" t="str">
        <f>VLOOKUP(Table3[[#This Row],[Shop Name]],seller!A:A,1,0)</f>
        <v>Kaaruk Fashion</v>
      </c>
    </row>
    <row r="553" spans="1:13" x14ac:dyDescent="0.2">
      <c r="A553" s="2">
        <v>553</v>
      </c>
      <c r="B553" s="2">
        <v>5</v>
      </c>
      <c r="C553" s="2" t="s">
        <v>43</v>
      </c>
      <c r="D553" s="2" t="s">
        <v>859</v>
      </c>
      <c r="E553" s="2" t="s">
        <v>817</v>
      </c>
      <c r="F553" s="2" t="s">
        <v>566</v>
      </c>
      <c r="G553" s="2" t="s">
        <v>48</v>
      </c>
      <c r="H553" s="23">
        <v>530</v>
      </c>
      <c r="I553" s="6">
        <v>850</v>
      </c>
      <c r="J553" s="1" t="s">
        <v>127</v>
      </c>
      <c r="K553" s="6">
        <v>0</v>
      </c>
      <c r="M553" s="70" t="str">
        <f>VLOOKUP(Table3[[#This Row],[Shop Name]],seller!A:A,1,0)</f>
        <v>Kaaruk Fashion</v>
      </c>
    </row>
    <row r="554" spans="1:13" ht="32" x14ac:dyDescent="0.2">
      <c r="A554" s="2">
        <v>554</v>
      </c>
      <c r="B554" s="2" t="s">
        <v>885</v>
      </c>
      <c r="C554" s="2" t="s">
        <v>55</v>
      </c>
      <c r="D554" s="2" t="s">
        <v>860</v>
      </c>
      <c r="E554" s="8" t="s">
        <v>7</v>
      </c>
      <c r="F554" s="2" t="s">
        <v>566</v>
      </c>
      <c r="G554" s="2" t="s">
        <v>56</v>
      </c>
      <c r="H554" s="23">
        <v>300</v>
      </c>
      <c r="I554" s="6">
        <v>550</v>
      </c>
      <c r="J554" s="1" t="s">
        <v>163</v>
      </c>
      <c r="K554" s="6">
        <v>475</v>
      </c>
      <c r="L554" s="24" t="s">
        <v>919</v>
      </c>
      <c r="M554" s="70" t="str">
        <f>VLOOKUP(Table3[[#This Row],[Shop Name]],seller!A:A,1,0)</f>
        <v>Kaaruk Fashion</v>
      </c>
    </row>
    <row r="555" spans="1:13" x14ac:dyDescent="0.2">
      <c r="A555" s="2">
        <v>555</v>
      </c>
      <c r="B555" s="2">
        <v>4</v>
      </c>
      <c r="C555" s="2" t="s">
        <v>55</v>
      </c>
      <c r="D555" s="2" t="s">
        <v>861</v>
      </c>
      <c r="E555" s="8" t="s">
        <v>7</v>
      </c>
      <c r="F555" s="2" t="s">
        <v>566</v>
      </c>
      <c r="G555" s="2" t="s">
        <v>56</v>
      </c>
      <c r="H555" s="23">
        <v>300</v>
      </c>
      <c r="I555" s="6">
        <v>550</v>
      </c>
      <c r="J555" s="1" t="s">
        <v>127</v>
      </c>
      <c r="K555" s="6">
        <v>0</v>
      </c>
      <c r="M555" s="70" t="str">
        <f>VLOOKUP(Table3[[#This Row],[Shop Name]],seller!A:A,1,0)</f>
        <v>Kaaruk Fashion</v>
      </c>
    </row>
    <row r="556" spans="1:13" x14ac:dyDescent="0.2">
      <c r="A556" s="2">
        <v>556</v>
      </c>
      <c r="B556" s="2">
        <v>4</v>
      </c>
      <c r="C556" s="2" t="s">
        <v>55</v>
      </c>
      <c r="D556" s="2" t="s">
        <v>862</v>
      </c>
      <c r="E556" s="8" t="s">
        <v>7</v>
      </c>
      <c r="F556" s="2" t="s">
        <v>566</v>
      </c>
      <c r="G556" s="2" t="s">
        <v>285</v>
      </c>
      <c r="H556" s="23">
        <v>300</v>
      </c>
      <c r="I556" s="6">
        <v>550</v>
      </c>
      <c r="J556" s="1" t="s">
        <v>127</v>
      </c>
      <c r="K556" s="6">
        <v>0</v>
      </c>
      <c r="M556" s="70" t="str">
        <f>VLOOKUP(Table3[[#This Row],[Shop Name]],seller!A:A,1,0)</f>
        <v>Kaaruk Fashion</v>
      </c>
    </row>
    <row r="557" spans="1:13" ht="32" x14ac:dyDescent="0.2">
      <c r="A557" s="2">
        <v>557</v>
      </c>
      <c r="B557" s="2" t="s">
        <v>885</v>
      </c>
      <c r="C557" s="2" t="s">
        <v>863</v>
      </c>
      <c r="D557" s="2" t="s">
        <v>864</v>
      </c>
      <c r="E557" s="2" t="s">
        <v>7</v>
      </c>
      <c r="F557" s="2" t="s">
        <v>566</v>
      </c>
      <c r="G557" s="2" t="s">
        <v>48</v>
      </c>
      <c r="H557" s="23">
        <v>550</v>
      </c>
      <c r="I557" s="6">
        <v>899</v>
      </c>
      <c r="J557" s="1" t="s">
        <v>163</v>
      </c>
      <c r="K557" s="6">
        <v>899</v>
      </c>
      <c r="L557" s="24" t="s">
        <v>721</v>
      </c>
      <c r="M557" s="70" t="str">
        <f>VLOOKUP(Table3[[#This Row],[Shop Name]],seller!A:A,1,0)</f>
        <v>Kaaruk Fashion</v>
      </c>
    </row>
    <row r="558" spans="1:13" ht="32" x14ac:dyDescent="0.2">
      <c r="A558" s="2">
        <v>558</v>
      </c>
      <c r="B558" s="2" t="s">
        <v>885</v>
      </c>
      <c r="C558" s="2" t="s">
        <v>863</v>
      </c>
      <c r="D558" s="2" t="s">
        <v>865</v>
      </c>
      <c r="E558" s="2" t="s">
        <v>7</v>
      </c>
      <c r="F558" s="2" t="s">
        <v>566</v>
      </c>
      <c r="G558" s="2" t="s">
        <v>44</v>
      </c>
      <c r="H558" s="23">
        <v>550</v>
      </c>
      <c r="I558" s="6">
        <v>899</v>
      </c>
      <c r="J558" s="1" t="s">
        <v>163</v>
      </c>
      <c r="K558" s="6">
        <v>800</v>
      </c>
      <c r="L558" s="24" t="s">
        <v>917</v>
      </c>
      <c r="M558" s="70" t="str">
        <f>VLOOKUP(Table3[[#This Row],[Shop Name]],seller!A:A,1,0)</f>
        <v>Kaaruk Fashion</v>
      </c>
    </row>
    <row r="559" spans="1:13" ht="32" x14ac:dyDescent="0.2">
      <c r="A559" s="2">
        <v>559</v>
      </c>
      <c r="B559" s="2">
        <v>2</v>
      </c>
      <c r="C559" s="2" t="s">
        <v>863</v>
      </c>
      <c r="D559" s="2" t="s">
        <v>865</v>
      </c>
      <c r="E559" s="2" t="s">
        <v>7</v>
      </c>
      <c r="F559" s="2" t="s">
        <v>566</v>
      </c>
      <c r="G559" s="2" t="s">
        <v>54</v>
      </c>
      <c r="H559" s="23">
        <v>550</v>
      </c>
      <c r="I559" s="6">
        <v>899</v>
      </c>
      <c r="J559" s="1" t="s">
        <v>127</v>
      </c>
      <c r="K559" s="6">
        <v>0</v>
      </c>
      <c r="M559" s="70" t="str">
        <f>VLOOKUP(Table3[[#This Row],[Shop Name]],seller!A:A,1,0)</f>
        <v>Kaaruk Fashion</v>
      </c>
    </row>
    <row r="560" spans="1:13" ht="32" x14ac:dyDescent="0.2">
      <c r="A560" s="2">
        <v>560</v>
      </c>
      <c r="B560" s="2">
        <v>2</v>
      </c>
      <c r="C560" s="2" t="s">
        <v>863</v>
      </c>
      <c r="D560" s="2" t="s">
        <v>865</v>
      </c>
      <c r="E560" s="2" t="s">
        <v>7</v>
      </c>
      <c r="F560" s="2" t="s">
        <v>566</v>
      </c>
      <c r="G560" s="2" t="s">
        <v>48</v>
      </c>
      <c r="H560" s="23">
        <v>550</v>
      </c>
      <c r="I560" s="6">
        <v>899</v>
      </c>
      <c r="J560" s="1" t="s">
        <v>127</v>
      </c>
      <c r="K560" s="6">
        <v>0</v>
      </c>
      <c r="M560" s="70" t="str">
        <f>VLOOKUP(Table3[[#This Row],[Shop Name]],seller!A:A,1,0)</f>
        <v>Kaaruk Fashion</v>
      </c>
    </row>
    <row r="561" spans="1:13" ht="32" x14ac:dyDescent="0.2">
      <c r="A561" s="2">
        <v>561</v>
      </c>
      <c r="B561" s="2" t="s">
        <v>885</v>
      </c>
      <c r="C561" s="2" t="s">
        <v>863</v>
      </c>
      <c r="D561" s="2" t="s">
        <v>866</v>
      </c>
      <c r="E561" s="2" t="s">
        <v>7</v>
      </c>
      <c r="F561" s="2" t="s">
        <v>566</v>
      </c>
      <c r="G561" s="2" t="s">
        <v>48</v>
      </c>
      <c r="H561" s="23">
        <v>550</v>
      </c>
      <c r="I561" s="6">
        <v>899</v>
      </c>
      <c r="J561" s="1" t="s">
        <v>163</v>
      </c>
      <c r="K561" s="6">
        <v>850</v>
      </c>
      <c r="L561" s="24" t="s">
        <v>916</v>
      </c>
      <c r="M561" s="70" t="str">
        <f>VLOOKUP(Table3[[#This Row],[Shop Name]],seller!A:A,1,0)</f>
        <v>Kaaruk Fashion</v>
      </c>
    </row>
    <row r="562" spans="1:13" ht="32" x14ac:dyDescent="0.2">
      <c r="A562" s="2">
        <v>562</v>
      </c>
      <c r="B562" s="2">
        <v>3</v>
      </c>
      <c r="C562" s="2" t="s">
        <v>867</v>
      </c>
      <c r="D562" s="2" t="s">
        <v>868</v>
      </c>
      <c r="E562" s="2" t="s">
        <v>7</v>
      </c>
      <c r="F562" s="2" t="s">
        <v>566</v>
      </c>
      <c r="G562" s="2" t="s">
        <v>54</v>
      </c>
      <c r="H562" s="23">
        <v>350</v>
      </c>
      <c r="I562" s="6">
        <v>699</v>
      </c>
      <c r="J562" s="1" t="s">
        <v>127</v>
      </c>
      <c r="K562" s="6">
        <v>0</v>
      </c>
      <c r="M562" s="70" t="str">
        <f>VLOOKUP(Table3[[#This Row],[Shop Name]],seller!A:A,1,0)</f>
        <v>Kaaruk Fashion</v>
      </c>
    </row>
    <row r="563" spans="1:13" ht="32" x14ac:dyDescent="0.2">
      <c r="A563" s="2">
        <v>563</v>
      </c>
      <c r="B563" s="2" t="s">
        <v>885</v>
      </c>
      <c r="C563" s="2" t="s">
        <v>867</v>
      </c>
      <c r="D563" s="2" t="s">
        <v>869</v>
      </c>
      <c r="E563" s="2" t="s">
        <v>7</v>
      </c>
      <c r="F563" s="2" t="s">
        <v>566</v>
      </c>
      <c r="G563" s="2" t="s">
        <v>54</v>
      </c>
      <c r="H563" s="23">
        <v>350</v>
      </c>
      <c r="I563" s="6">
        <v>699</v>
      </c>
      <c r="J563" s="1" t="s">
        <v>163</v>
      </c>
      <c r="K563" s="6">
        <v>650</v>
      </c>
      <c r="L563" s="24" t="s">
        <v>329</v>
      </c>
      <c r="M563" s="70" t="str">
        <f>VLOOKUP(Table3[[#This Row],[Shop Name]],seller!A:A,1,0)</f>
        <v>Kaaruk Fashion</v>
      </c>
    </row>
    <row r="564" spans="1:13" ht="32" x14ac:dyDescent="0.2">
      <c r="A564" s="2">
        <v>564</v>
      </c>
      <c r="B564" s="2" t="s">
        <v>872</v>
      </c>
      <c r="C564" s="2" t="s">
        <v>867</v>
      </c>
      <c r="D564" s="2" t="s">
        <v>870</v>
      </c>
      <c r="E564" s="2" t="s">
        <v>7</v>
      </c>
      <c r="F564" s="2" t="s">
        <v>566</v>
      </c>
      <c r="G564" s="2" t="s">
        <v>54</v>
      </c>
      <c r="H564" s="23">
        <v>350</v>
      </c>
      <c r="I564" s="6">
        <v>699</v>
      </c>
      <c r="J564" s="1" t="s">
        <v>163</v>
      </c>
      <c r="K564" s="6">
        <v>600</v>
      </c>
      <c r="L564" s="1" t="s">
        <v>873</v>
      </c>
      <c r="M564" s="70" t="str">
        <f>VLOOKUP(Table3[[#This Row],[Shop Name]],seller!A:A,1,0)</f>
        <v>Kaaruk Fashion</v>
      </c>
    </row>
    <row r="565" spans="1:13" ht="32" x14ac:dyDescent="0.2">
      <c r="A565" s="2">
        <v>565</v>
      </c>
      <c r="B565" s="2" t="s">
        <v>885</v>
      </c>
      <c r="C565" s="2" t="s">
        <v>867</v>
      </c>
      <c r="D565" s="2" t="s">
        <v>871</v>
      </c>
      <c r="E565" s="2" t="s">
        <v>7</v>
      </c>
      <c r="F565" s="2" t="s">
        <v>566</v>
      </c>
      <c r="G565" s="2" t="s">
        <v>44</v>
      </c>
      <c r="H565" s="23">
        <v>350</v>
      </c>
      <c r="I565" s="6">
        <v>699</v>
      </c>
      <c r="J565" s="1" t="s">
        <v>163</v>
      </c>
      <c r="K565" s="6">
        <v>600</v>
      </c>
      <c r="L565" s="24" t="s">
        <v>917</v>
      </c>
      <c r="M565" s="70" t="str">
        <f>VLOOKUP(Table3[[#This Row],[Shop Name]],seller!A:A,1,0)</f>
        <v>Kaaruk Fashion</v>
      </c>
    </row>
    <row r="566" spans="1:13" x14ac:dyDescent="0.2">
      <c r="A566" s="2">
        <v>566</v>
      </c>
      <c r="B566" s="2" t="s">
        <v>872</v>
      </c>
      <c r="C566" s="2" t="s">
        <v>43</v>
      </c>
      <c r="D566" s="2" t="s">
        <v>770</v>
      </c>
      <c r="E566" s="2" t="s">
        <v>753</v>
      </c>
      <c r="F566" s="2" t="s">
        <v>75</v>
      </c>
      <c r="G566" s="2" t="s">
        <v>54</v>
      </c>
      <c r="H566" s="23">
        <v>995</v>
      </c>
      <c r="I566" s="6">
        <v>1300</v>
      </c>
      <c r="J566" s="1" t="s">
        <v>163</v>
      </c>
      <c r="K566" s="6">
        <v>1250</v>
      </c>
      <c r="L566" s="1" t="s">
        <v>876</v>
      </c>
      <c r="M566" s="70" t="str">
        <f>VLOOKUP(Table3[[#This Row],[Shop Name]],seller!A:A,1,0)</f>
        <v>Rudra Fashion</v>
      </c>
    </row>
    <row r="567" spans="1:13" ht="17" x14ac:dyDescent="0.2">
      <c r="A567" s="2">
        <v>567</v>
      </c>
      <c r="B567" s="2" t="s">
        <v>923</v>
      </c>
      <c r="C567" s="8" t="s">
        <v>359</v>
      </c>
      <c r="D567" s="8" t="s">
        <v>922</v>
      </c>
      <c r="E567" s="8" t="s">
        <v>7</v>
      </c>
      <c r="F567" s="8" t="s">
        <v>75</v>
      </c>
      <c r="G567" s="8" t="s">
        <v>267</v>
      </c>
      <c r="H567" s="42">
        <v>320</v>
      </c>
      <c r="I567" s="9">
        <v>550</v>
      </c>
      <c r="J567" s="1" t="s">
        <v>127</v>
      </c>
      <c r="K567" s="6">
        <v>0</v>
      </c>
      <c r="M567" s="70" t="str">
        <f>VLOOKUP(Table3[[#This Row],[Shop Name]],seller!A:A,1,0)</f>
        <v>Rudra Fashion</v>
      </c>
    </row>
    <row r="568" spans="1:13" ht="17" x14ac:dyDescent="0.2">
      <c r="A568" s="2">
        <v>568</v>
      </c>
      <c r="B568" s="2" t="s">
        <v>923</v>
      </c>
      <c r="C568" s="8" t="s">
        <v>359</v>
      </c>
      <c r="D568" s="8" t="s">
        <v>922</v>
      </c>
      <c r="E568" s="8" t="s">
        <v>7</v>
      </c>
      <c r="F568" s="8" t="s">
        <v>75</v>
      </c>
      <c r="G568" s="8" t="s">
        <v>267</v>
      </c>
      <c r="H568" s="42">
        <v>320</v>
      </c>
      <c r="I568" s="9">
        <v>550</v>
      </c>
      <c r="J568" s="1" t="s">
        <v>127</v>
      </c>
      <c r="K568" s="6">
        <v>0</v>
      </c>
      <c r="M568" s="70" t="str">
        <f>VLOOKUP(Table3[[#This Row],[Shop Name]],seller!A:A,1,0)</f>
        <v>Rudra Fashion</v>
      </c>
    </row>
    <row r="569" spans="1:13" ht="17" x14ac:dyDescent="0.2">
      <c r="A569" s="2">
        <v>569</v>
      </c>
      <c r="B569" s="2" t="s">
        <v>923</v>
      </c>
      <c r="C569" s="8" t="s">
        <v>359</v>
      </c>
      <c r="D569" s="8" t="s">
        <v>922</v>
      </c>
      <c r="E569" s="8" t="s">
        <v>7</v>
      </c>
      <c r="F569" s="8" t="s">
        <v>75</v>
      </c>
      <c r="G569" s="8" t="s">
        <v>267</v>
      </c>
      <c r="H569" s="42">
        <v>320</v>
      </c>
      <c r="I569" s="9">
        <v>550</v>
      </c>
      <c r="J569" s="1" t="s">
        <v>127</v>
      </c>
      <c r="K569" s="6">
        <v>0</v>
      </c>
      <c r="M569" s="70" t="str">
        <f>VLOOKUP(Table3[[#This Row],[Shop Name]],seller!A:A,1,0)</f>
        <v>Rudra Fashion</v>
      </c>
    </row>
    <row r="570" spans="1:13" ht="32" x14ac:dyDescent="0.2">
      <c r="A570" s="2">
        <v>570</v>
      </c>
      <c r="B570" s="2" t="s">
        <v>954</v>
      </c>
      <c r="C570" s="2" t="s">
        <v>46</v>
      </c>
      <c r="D570" s="2" t="s">
        <v>926</v>
      </c>
      <c r="E570" s="2" t="s">
        <v>378</v>
      </c>
      <c r="F570" s="2" t="s">
        <v>75</v>
      </c>
      <c r="G570" s="2" t="s">
        <v>44</v>
      </c>
      <c r="H570" s="23">
        <v>575</v>
      </c>
      <c r="I570" s="6">
        <v>905</v>
      </c>
      <c r="J570" s="1" t="s">
        <v>163</v>
      </c>
      <c r="K570" s="6">
        <v>840</v>
      </c>
      <c r="L570" s="1" t="s">
        <v>981</v>
      </c>
      <c r="M570" s="70" t="str">
        <f>VLOOKUP(Table3[[#This Row],[Shop Name]],seller!A:A,1,0)</f>
        <v>Rudra Fashion</v>
      </c>
    </row>
    <row r="571" spans="1:13" x14ac:dyDescent="0.2">
      <c r="A571" s="2">
        <v>571</v>
      </c>
      <c r="B571" s="2">
        <v>2</v>
      </c>
      <c r="C571" s="2" t="s">
        <v>43</v>
      </c>
      <c r="D571" s="2" t="s">
        <v>925</v>
      </c>
      <c r="E571" s="2" t="s">
        <v>924</v>
      </c>
      <c r="F571" s="2" t="s">
        <v>75</v>
      </c>
      <c r="G571" s="2" t="s">
        <v>44</v>
      </c>
      <c r="H571" s="23">
        <v>805</v>
      </c>
      <c r="I571" s="6">
        <v>1150</v>
      </c>
      <c r="J571" s="1" t="s">
        <v>127</v>
      </c>
      <c r="K571" s="6">
        <v>0</v>
      </c>
      <c r="M571" s="70" t="str">
        <f>VLOOKUP(Table3[[#This Row],[Shop Name]],seller!A:A,1,0)</f>
        <v>Rudra Fashion</v>
      </c>
    </row>
    <row r="572" spans="1:13" ht="32" x14ac:dyDescent="0.2">
      <c r="A572" s="2">
        <v>572</v>
      </c>
      <c r="B572" s="2">
        <v>1</v>
      </c>
      <c r="C572" s="2" t="s">
        <v>46</v>
      </c>
      <c r="D572" s="2" t="s">
        <v>927</v>
      </c>
      <c r="E572" s="2" t="s">
        <v>7</v>
      </c>
      <c r="F572" s="2" t="s">
        <v>75</v>
      </c>
      <c r="G572" s="2" t="s">
        <v>48</v>
      </c>
      <c r="H572" s="23">
        <v>295</v>
      </c>
      <c r="I572" s="6">
        <v>599</v>
      </c>
      <c r="J572" s="1" t="s">
        <v>127</v>
      </c>
      <c r="K572" s="6">
        <v>0</v>
      </c>
      <c r="M572" s="70" t="str">
        <f>VLOOKUP(Table3[[#This Row],[Shop Name]],seller!A:A,1,0)</f>
        <v>Rudra Fashion</v>
      </c>
    </row>
    <row r="573" spans="1:13" x14ac:dyDescent="0.2">
      <c r="A573" s="2">
        <v>573</v>
      </c>
      <c r="B573" s="2">
        <v>5</v>
      </c>
      <c r="C573" s="2" t="s">
        <v>43</v>
      </c>
      <c r="D573" s="2" t="s">
        <v>929</v>
      </c>
      <c r="E573" s="2" t="s">
        <v>642</v>
      </c>
      <c r="F573" s="2" t="s">
        <v>75</v>
      </c>
      <c r="G573" s="2" t="s">
        <v>54</v>
      </c>
      <c r="H573" s="23">
        <v>805</v>
      </c>
      <c r="I573" s="6">
        <v>1150</v>
      </c>
      <c r="J573" s="1" t="s">
        <v>127</v>
      </c>
      <c r="K573" s="6">
        <v>0</v>
      </c>
      <c r="M573" s="70" t="str">
        <f>VLOOKUP(Table3[[#This Row],[Shop Name]],seller!A:A,1,0)</f>
        <v>Rudra Fashion</v>
      </c>
    </row>
    <row r="574" spans="1:13" ht="32" x14ac:dyDescent="0.2">
      <c r="A574" s="2">
        <v>574</v>
      </c>
      <c r="B574" s="2">
        <v>4</v>
      </c>
      <c r="C574" s="2" t="s">
        <v>46</v>
      </c>
      <c r="D574" s="2" t="s">
        <v>953</v>
      </c>
      <c r="E574" s="2" t="s">
        <v>7</v>
      </c>
      <c r="F574" s="2" t="s">
        <v>75</v>
      </c>
      <c r="G574" s="2" t="s">
        <v>44</v>
      </c>
      <c r="H574" s="23">
        <v>465</v>
      </c>
      <c r="I574" s="6">
        <v>799</v>
      </c>
      <c r="J574" s="1" t="s">
        <v>127</v>
      </c>
      <c r="K574" s="6">
        <v>0</v>
      </c>
      <c r="M574" s="70" t="str">
        <f>VLOOKUP(Table3[[#This Row],[Shop Name]],seller!A:A,1,0)</f>
        <v>Rudra Fashion</v>
      </c>
    </row>
    <row r="575" spans="1:13" x14ac:dyDescent="0.2">
      <c r="A575" s="2">
        <v>575</v>
      </c>
      <c r="B575" s="2">
        <v>11</v>
      </c>
      <c r="C575" s="2" t="s">
        <v>53</v>
      </c>
      <c r="D575" s="2" t="s">
        <v>928</v>
      </c>
      <c r="E575" s="2" t="s">
        <v>7</v>
      </c>
      <c r="F575" s="2" t="s">
        <v>75</v>
      </c>
      <c r="G575" s="2" t="s">
        <v>56</v>
      </c>
      <c r="H575" s="23">
        <v>585</v>
      </c>
      <c r="I575" s="6">
        <v>900</v>
      </c>
      <c r="J575" s="1" t="s">
        <v>127</v>
      </c>
      <c r="K575" s="6">
        <v>0</v>
      </c>
      <c r="M575" s="70" t="str">
        <f>VLOOKUP(Table3[[#This Row],[Shop Name]],seller!A:A,1,0)</f>
        <v>Rudra Fashion</v>
      </c>
    </row>
    <row r="576" spans="1:13" x14ac:dyDescent="0.2">
      <c r="A576" s="2">
        <v>576</v>
      </c>
      <c r="B576" s="2">
        <v>11</v>
      </c>
      <c r="C576" s="2" t="s">
        <v>53</v>
      </c>
      <c r="D576" s="2" t="s">
        <v>930</v>
      </c>
      <c r="E576" s="2" t="s">
        <v>7</v>
      </c>
      <c r="F576" s="2" t="s">
        <v>75</v>
      </c>
      <c r="G576" s="2" t="s">
        <v>56</v>
      </c>
      <c r="H576" s="23">
        <v>585</v>
      </c>
      <c r="I576" s="6">
        <v>900</v>
      </c>
      <c r="J576" s="1" t="s">
        <v>127</v>
      </c>
      <c r="K576" s="6">
        <v>0</v>
      </c>
      <c r="M576" s="70" t="str">
        <f>VLOOKUP(Table3[[#This Row],[Shop Name]],seller!A:A,1,0)</f>
        <v>Rudra Fashion</v>
      </c>
    </row>
    <row r="577" spans="1:13" x14ac:dyDescent="0.2">
      <c r="A577" s="2">
        <v>577</v>
      </c>
      <c r="B577" s="2">
        <v>11</v>
      </c>
      <c r="C577" s="2" t="s">
        <v>53</v>
      </c>
      <c r="D577" s="2" t="s">
        <v>928</v>
      </c>
      <c r="E577" s="2" t="s">
        <v>7</v>
      </c>
      <c r="F577" s="2" t="s">
        <v>75</v>
      </c>
      <c r="G577" s="2" t="s">
        <v>48</v>
      </c>
      <c r="H577" s="23">
        <v>585</v>
      </c>
      <c r="I577" s="6">
        <v>900</v>
      </c>
      <c r="J577" s="1" t="s">
        <v>127</v>
      </c>
      <c r="K577" s="6">
        <v>0</v>
      </c>
      <c r="M577" s="70" t="str">
        <f>VLOOKUP(Table3[[#This Row],[Shop Name]],seller!A:A,1,0)</f>
        <v>Rudra Fashion</v>
      </c>
    </row>
    <row r="578" spans="1:13" ht="32" x14ac:dyDescent="0.2">
      <c r="A578" s="2">
        <v>578</v>
      </c>
      <c r="B578" s="2" t="s">
        <v>954</v>
      </c>
      <c r="C578" s="2" t="s">
        <v>46</v>
      </c>
      <c r="D578" s="2" t="s">
        <v>988</v>
      </c>
      <c r="E578" s="2" t="s">
        <v>7</v>
      </c>
      <c r="F578" s="2" t="s">
        <v>75</v>
      </c>
      <c r="G578" s="2" t="s">
        <v>44</v>
      </c>
      <c r="H578" s="23">
        <v>395</v>
      </c>
      <c r="I578" s="6">
        <v>700</v>
      </c>
      <c r="J578" s="1" t="s">
        <v>163</v>
      </c>
      <c r="K578" s="6">
        <v>650</v>
      </c>
      <c r="L578" s="1" t="s">
        <v>982</v>
      </c>
      <c r="M578" s="70" t="str">
        <f>VLOOKUP(Table3[[#This Row],[Shop Name]],seller!A:A,1,0)</f>
        <v>Rudra Fashion</v>
      </c>
    </row>
    <row r="579" spans="1:13" ht="32" x14ac:dyDescent="0.2">
      <c r="A579" s="2">
        <v>579</v>
      </c>
      <c r="B579" s="2">
        <v>9</v>
      </c>
      <c r="C579" s="2" t="s">
        <v>46</v>
      </c>
      <c r="D579" s="2" t="s">
        <v>931</v>
      </c>
      <c r="E579" s="2" t="s">
        <v>817</v>
      </c>
      <c r="F579" s="2" t="s">
        <v>75</v>
      </c>
      <c r="G579" s="2" t="s">
        <v>54</v>
      </c>
      <c r="H579" s="23">
        <v>395</v>
      </c>
      <c r="I579" s="6">
        <v>700</v>
      </c>
      <c r="J579" s="1" t="s">
        <v>127</v>
      </c>
      <c r="K579" s="6">
        <v>0</v>
      </c>
      <c r="M579" s="70" t="str">
        <f>VLOOKUP(Table3[[#This Row],[Shop Name]],seller!A:A,1,0)</f>
        <v>Rudra Fashion</v>
      </c>
    </row>
    <row r="580" spans="1:13" ht="32" x14ac:dyDescent="0.2">
      <c r="A580" s="2">
        <v>580</v>
      </c>
      <c r="B580" s="2" t="s">
        <v>954</v>
      </c>
      <c r="C580" s="2" t="s">
        <v>46</v>
      </c>
      <c r="D580" s="2" t="s">
        <v>988</v>
      </c>
      <c r="E580" s="2" t="s">
        <v>7</v>
      </c>
      <c r="F580" s="2" t="s">
        <v>75</v>
      </c>
      <c r="G580" s="2" t="s">
        <v>48</v>
      </c>
      <c r="H580" s="23">
        <v>395</v>
      </c>
      <c r="I580" s="6">
        <v>700</v>
      </c>
      <c r="J580" s="1" t="s">
        <v>163</v>
      </c>
      <c r="K580" s="6">
        <v>650</v>
      </c>
      <c r="L580" s="1" t="s">
        <v>979</v>
      </c>
      <c r="M580" s="70" t="str">
        <f>VLOOKUP(Table3[[#This Row],[Shop Name]],seller!A:A,1,0)</f>
        <v>Rudra Fashion</v>
      </c>
    </row>
    <row r="581" spans="1:13" ht="32" x14ac:dyDescent="0.2">
      <c r="A581" s="2">
        <v>581</v>
      </c>
      <c r="B581" s="2">
        <v>9</v>
      </c>
      <c r="C581" s="2" t="s">
        <v>46</v>
      </c>
      <c r="D581" s="2" t="s">
        <v>931</v>
      </c>
      <c r="E581" s="2" t="s">
        <v>817</v>
      </c>
      <c r="F581" s="2" t="s">
        <v>75</v>
      </c>
      <c r="G581" s="2" t="s">
        <v>56</v>
      </c>
      <c r="H581" s="23">
        <v>395</v>
      </c>
      <c r="I581" s="6">
        <v>700</v>
      </c>
      <c r="J581" s="1" t="s">
        <v>127</v>
      </c>
      <c r="K581" s="6">
        <v>0</v>
      </c>
      <c r="M581" s="70" t="str">
        <f>VLOOKUP(Table3[[#This Row],[Shop Name]],seller!A:A,1,0)</f>
        <v>Rudra Fashion</v>
      </c>
    </row>
    <row r="582" spans="1:13" ht="32" x14ac:dyDescent="0.2">
      <c r="A582" s="2">
        <v>582</v>
      </c>
      <c r="B582" s="2">
        <v>9</v>
      </c>
      <c r="C582" s="2" t="s">
        <v>46</v>
      </c>
      <c r="D582" s="2" t="s">
        <v>1020</v>
      </c>
      <c r="E582" s="2" t="s">
        <v>817</v>
      </c>
      <c r="F582" s="2" t="s">
        <v>75</v>
      </c>
      <c r="G582" s="2" t="s">
        <v>44</v>
      </c>
      <c r="H582" s="23">
        <v>395</v>
      </c>
      <c r="I582" s="6">
        <v>700</v>
      </c>
      <c r="J582" s="1" t="s">
        <v>127</v>
      </c>
      <c r="K582" s="6">
        <v>0</v>
      </c>
      <c r="M582" s="70" t="str">
        <f>VLOOKUP(Table3[[#This Row],[Shop Name]],seller!A:A,1,0)</f>
        <v>Rudra Fashion</v>
      </c>
    </row>
    <row r="583" spans="1:13" ht="32" x14ac:dyDescent="0.2">
      <c r="A583" s="2">
        <v>583</v>
      </c>
      <c r="B583" s="2">
        <v>9</v>
      </c>
      <c r="C583" s="2" t="s">
        <v>46</v>
      </c>
      <c r="D583" s="2" t="s">
        <v>932</v>
      </c>
      <c r="E583" s="2" t="s">
        <v>817</v>
      </c>
      <c r="F583" s="2" t="s">
        <v>75</v>
      </c>
      <c r="G583" s="2" t="s">
        <v>54</v>
      </c>
      <c r="H583" s="23">
        <v>395</v>
      </c>
      <c r="I583" s="6">
        <v>700</v>
      </c>
      <c r="J583" s="1" t="s">
        <v>127</v>
      </c>
      <c r="K583" s="6">
        <v>0</v>
      </c>
      <c r="M583" s="70" t="str">
        <f>VLOOKUP(Table3[[#This Row],[Shop Name]],seller!A:A,1,0)</f>
        <v>Rudra Fashion</v>
      </c>
    </row>
    <row r="584" spans="1:13" ht="32" x14ac:dyDescent="0.2">
      <c r="A584" s="2">
        <v>584</v>
      </c>
      <c r="B584" s="2">
        <v>9</v>
      </c>
      <c r="C584" s="2" t="s">
        <v>46</v>
      </c>
      <c r="D584" s="2" t="s">
        <v>932</v>
      </c>
      <c r="E584" s="2" t="s">
        <v>817</v>
      </c>
      <c r="F584" s="2" t="s">
        <v>75</v>
      </c>
      <c r="G584" s="2" t="s">
        <v>48</v>
      </c>
      <c r="H584" s="23">
        <v>395</v>
      </c>
      <c r="I584" s="6">
        <v>700</v>
      </c>
      <c r="J584" s="1" t="s">
        <v>127</v>
      </c>
      <c r="K584" s="6">
        <v>0</v>
      </c>
      <c r="M584" s="70" t="str">
        <f>VLOOKUP(Table3[[#This Row],[Shop Name]],seller!A:A,1,0)</f>
        <v>Rudra Fashion</v>
      </c>
    </row>
    <row r="585" spans="1:13" ht="32" x14ac:dyDescent="0.2">
      <c r="A585" s="2">
        <v>585</v>
      </c>
      <c r="B585" s="2">
        <v>9</v>
      </c>
      <c r="C585" s="2" t="s">
        <v>46</v>
      </c>
      <c r="D585" s="2" t="s">
        <v>932</v>
      </c>
      <c r="E585" s="2" t="s">
        <v>817</v>
      </c>
      <c r="F585" s="2" t="s">
        <v>75</v>
      </c>
      <c r="G585" s="2" t="s">
        <v>56</v>
      </c>
      <c r="H585" s="23">
        <v>395</v>
      </c>
      <c r="I585" s="6">
        <v>700</v>
      </c>
      <c r="J585" s="1" t="s">
        <v>127</v>
      </c>
      <c r="K585" s="6">
        <v>0</v>
      </c>
      <c r="M585" s="70" t="str">
        <f>VLOOKUP(Table3[[#This Row],[Shop Name]],seller!A:A,1,0)</f>
        <v>Rudra Fashion</v>
      </c>
    </row>
    <row r="586" spans="1:13" ht="32" x14ac:dyDescent="0.2">
      <c r="A586" s="2">
        <v>586</v>
      </c>
      <c r="B586" s="2" t="s">
        <v>962</v>
      </c>
      <c r="C586" s="2" t="s">
        <v>46</v>
      </c>
      <c r="D586" s="2" t="s">
        <v>933</v>
      </c>
      <c r="E586" s="2" t="s">
        <v>378</v>
      </c>
      <c r="F586" s="2" t="s">
        <v>75</v>
      </c>
      <c r="G586" s="2" t="s">
        <v>347</v>
      </c>
      <c r="H586" s="23">
        <v>585</v>
      </c>
      <c r="I586" s="6">
        <v>950</v>
      </c>
      <c r="J586" s="1" t="s">
        <v>163</v>
      </c>
      <c r="K586" s="6">
        <v>900</v>
      </c>
      <c r="L586" s="1" t="s">
        <v>963</v>
      </c>
      <c r="M586" s="70" t="str">
        <f>VLOOKUP(Table3[[#This Row],[Shop Name]],seller!A:A,1,0)</f>
        <v>Rudra Fashion</v>
      </c>
    </row>
    <row r="587" spans="1:13" ht="32" x14ac:dyDescent="0.2">
      <c r="A587" s="2">
        <v>587</v>
      </c>
      <c r="B587" s="2" t="s">
        <v>962</v>
      </c>
      <c r="C587" s="2" t="s">
        <v>46</v>
      </c>
      <c r="D587" s="2" t="s">
        <v>933</v>
      </c>
      <c r="E587" s="2" t="s">
        <v>378</v>
      </c>
      <c r="F587" s="2" t="s">
        <v>75</v>
      </c>
      <c r="G587" s="2" t="s">
        <v>285</v>
      </c>
      <c r="H587" s="23">
        <v>585</v>
      </c>
      <c r="I587" s="6">
        <v>950</v>
      </c>
      <c r="J587" s="1" t="s">
        <v>163</v>
      </c>
      <c r="K587" s="6">
        <v>900</v>
      </c>
      <c r="L587" s="1" t="s">
        <v>964</v>
      </c>
      <c r="M587" s="70" t="str">
        <f>VLOOKUP(Table3[[#This Row],[Shop Name]],seller!A:A,1,0)</f>
        <v>Rudra Fashion</v>
      </c>
    </row>
    <row r="588" spans="1:13" ht="32" x14ac:dyDescent="0.2">
      <c r="A588" s="2">
        <v>588</v>
      </c>
      <c r="B588" s="2">
        <v>9</v>
      </c>
      <c r="C588" s="2" t="s">
        <v>46</v>
      </c>
      <c r="D588" s="2" t="s">
        <v>934</v>
      </c>
      <c r="E588" s="2" t="s">
        <v>7</v>
      </c>
      <c r="F588" s="2" t="s">
        <v>75</v>
      </c>
      <c r="G588" s="2" t="s">
        <v>54</v>
      </c>
      <c r="H588" s="23">
        <v>395</v>
      </c>
      <c r="I588" s="6">
        <v>700</v>
      </c>
      <c r="J588" s="1" t="s">
        <v>127</v>
      </c>
      <c r="K588" s="6">
        <v>0</v>
      </c>
      <c r="M588" s="70" t="str">
        <f>VLOOKUP(Table3[[#This Row],[Shop Name]],seller!A:A,1,0)</f>
        <v>Rudra Fashion</v>
      </c>
    </row>
    <row r="589" spans="1:13" ht="32" x14ac:dyDescent="0.2">
      <c r="A589" s="2">
        <v>588</v>
      </c>
      <c r="B589" s="2" t="s">
        <v>954</v>
      </c>
      <c r="C589" s="2" t="s">
        <v>46</v>
      </c>
      <c r="D589" s="2" t="s">
        <v>934</v>
      </c>
      <c r="E589" s="2" t="s">
        <v>7</v>
      </c>
      <c r="F589" s="2" t="s">
        <v>75</v>
      </c>
      <c r="G589" s="2" t="s">
        <v>56</v>
      </c>
      <c r="H589" s="23">
        <v>395</v>
      </c>
      <c r="I589" s="6">
        <v>700</v>
      </c>
      <c r="J589" s="1" t="s">
        <v>163</v>
      </c>
      <c r="K589" s="6">
        <v>650</v>
      </c>
      <c r="L589" s="1" t="s">
        <v>980</v>
      </c>
      <c r="M589" s="70" t="str">
        <f>VLOOKUP(Table3[[#This Row],[Shop Name]],seller!A:A,1,0)</f>
        <v>Rudra Fashion</v>
      </c>
    </row>
    <row r="590" spans="1:13" x14ac:dyDescent="0.2">
      <c r="A590" s="2">
        <v>590</v>
      </c>
      <c r="B590" s="2">
        <v>8</v>
      </c>
      <c r="C590" s="2" t="s">
        <v>43</v>
      </c>
      <c r="D590" s="2" t="s">
        <v>935</v>
      </c>
      <c r="E590" s="2" t="s">
        <v>7</v>
      </c>
      <c r="F590" s="2" t="s">
        <v>75</v>
      </c>
      <c r="G590" s="2" t="s">
        <v>48</v>
      </c>
      <c r="H590" s="23">
        <v>1125</v>
      </c>
      <c r="I590" s="6">
        <v>1450</v>
      </c>
      <c r="J590" s="1" t="s">
        <v>127</v>
      </c>
      <c r="K590" s="6">
        <v>0</v>
      </c>
      <c r="M590" s="70" t="str">
        <f>VLOOKUP(Table3[[#This Row],[Shop Name]],seller!A:A,1,0)</f>
        <v>Rudra Fashion</v>
      </c>
    </row>
    <row r="591" spans="1:13" x14ac:dyDescent="0.2">
      <c r="A591" s="2">
        <v>591</v>
      </c>
      <c r="B591" s="2">
        <v>8</v>
      </c>
      <c r="C591" s="2" t="s">
        <v>43</v>
      </c>
      <c r="D591" s="2" t="s">
        <v>935</v>
      </c>
      <c r="E591" s="2" t="s">
        <v>7</v>
      </c>
      <c r="F591" s="2" t="s">
        <v>75</v>
      </c>
      <c r="G591" s="2" t="s">
        <v>44</v>
      </c>
      <c r="H591" s="23">
        <v>1125</v>
      </c>
      <c r="I591" s="6">
        <v>1450</v>
      </c>
      <c r="J591" s="1" t="s">
        <v>127</v>
      </c>
      <c r="K591" s="6">
        <v>0</v>
      </c>
      <c r="M591" s="70" t="str">
        <f>VLOOKUP(Table3[[#This Row],[Shop Name]],seller!A:A,1,0)</f>
        <v>Rudra Fashion</v>
      </c>
    </row>
    <row r="592" spans="1:13" x14ac:dyDescent="0.2">
      <c r="A592" s="2">
        <v>592</v>
      </c>
      <c r="B592" s="2" t="s">
        <v>954</v>
      </c>
      <c r="C592" s="2" t="s">
        <v>43</v>
      </c>
      <c r="D592" s="2" t="s">
        <v>939</v>
      </c>
      <c r="E592" s="2" t="s">
        <v>7</v>
      </c>
      <c r="F592" s="2" t="s">
        <v>75</v>
      </c>
      <c r="G592" s="2" t="s">
        <v>54</v>
      </c>
      <c r="H592" s="23">
        <v>795</v>
      </c>
      <c r="I592" s="6">
        <v>1150</v>
      </c>
      <c r="J592" s="1" t="s">
        <v>163</v>
      </c>
      <c r="K592" s="6">
        <v>1100</v>
      </c>
      <c r="L592" s="1" t="s">
        <v>955</v>
      </c>
      <c r="M592" s="70" t="str">
        <f>VLOOKUP(Table3[[#This Row],[Shop Name]],seller!A:A,1,0)</f>
        <v>Rudra Fashion</v>
      </c>
    </row>
    <row r="593" spans="1:13" x14ac:dyDescent="0.2">
      <c r="A593" s="2">
        <v>593</v>
      </c>
      <c r="B593" s="2">
        <v>10</v>
      </c>
      <c r="C593" s="2" t="s">
        <v>43</v>
      </c>
      <c r="D593" s="2" t="s">
        <v>936</v>
      </c>
      <c r="E593" s="2" t="s">
        <v>7</v>
      </c>
      <c r="F593" s="2" t="s">
        <v>75</v>
      </c>
      <c r="G593" s="2" t="s">
        <v>54</v>
      </c>
      <c r="H593" s="23">
        <v>795</v>
      </c>
      <c r="I593" s="6">
        <v>1150</v>
      </c>
      <c r="J593" s="1" t="s">
        <v>127</v>
      </c>
      <c r="K593" s="6">
        <v>0</v>
      </c>
      <c r="M593" s="70" t="str">
        <f>VLOOKUP(Table3[[#This Row],[Shop Name]],seller!A:A,1,0)</f>
        <v>Rudra Fashion</v>
      </c>
    </row>
    <row r="594" spans="1:13" x14ac:dyDescent="0.2">
      <c r="A594" s="2">
        <v>594</v>
      </c>
      <c r="B594" s="2" t="s">
        <v>954</v>
      </c>
      <c r="C594" s="2" t="s">
        <v>43</v>
      </c>
      <c r="D594" s="2" t="s">
        <v>937</v>
      </c>
      <c r="E594" s="2" t="s">
        <v>7</v>
      </c>
      <c r="F594" s="2" t="s">
        <v>75</v>
      </c>
      <c r="G594" s="2" t="s">
        <v>54</v>
      </c>
      <c r="H594" s="23">
        <v>795</v>
      </c>
      <c r="I594" s="6">
        <v>1150</v>
      </c>
      <c r="J594" s="1" t="s">
        <v>163</v>
      </c>
      <c r="K594" s="6">
        <v>1050</v>
      </c>
      <c r="L594" s="1" t="s">
        <v>955</v>
      </c>
      <c r="M594" s="70" t="str">
        <f>VLOOKUP(Table3[[#This Row],[Shop Name]],seller!A:A,1,0)</f>
        <v>Rudra Fashion</v>
      </c>
    </row>
    <row r="595" spans="1:13" ht="32" x14ac:dyDescent="0.2">
      <c r="A595" s="2">
        <v>595</v>
      </c>
      <c r="B595" s="2">
        <v>10</v>
      </c>
      <c r="C595" s="2" t="s">
        <v>43</v>
      </c>
      <c r="D595" s="2" t="s">
        <v>938</v>
      </c>
      <c r="E595" s="2" t="s">
        <v>7</v>
      </c>
      <c r="F595" s="2" t="s">
        <v>75</v>
      </c>
      <c r="G595" s="2" t="s">
        <v>48</v>
      </c>
      <c r="H595" s="23">
        <v>795</v>
      </c>
      <c r="I595" s="6">
        <v>1150</v>
      </c>
      <c r="J595" s="1" t="s">
        <v>127</v>
      </c>
      <c r="K595" s="6">
        <v>0</v>
      </c>
      <c r="M595" s="70" t="str">
        <f>VLOOKUP(Table3[[#This Row],[Shop Name]],seller!A:A,1,0)</f>
        <v>Rudra Fashion</v>
      </c>
    </row>
    <row r="596" spans="1:13" ht="32" x14ac:dyDescent="0.2">
      <c r="A596" s="2">
        <v>596</v>
      </c>
      <c r="B596" s="2">
        <v>22</v>
      </c>
      <c r="C596" s="2" t="s">
        <v>46</v>
      </c>
      <c r="D596" s="2" t="s">
        <v>940</v>
      </c>
      <c r="E596" s="2" t="s">
        <v>817</v>
      </c>
      <c r="F596" s="2" t="s">
        <v>75</v>
      </c>
      <c r="G596" s="2" t="s">
        <v>54</v>
      </c>
      <c r="H596" s="23">
        <v>575</v>
      </c>
      <c r="I596" s="6">
        <v>900</v>
      </c>
      <c r="J596" s="1" t="s">
        <v>127</v>
      </c>
      <c r="K596" s="6">
        <v>0</v>
      </c>
      <c r="M596" s="70" t="str">
        <f>VLOOKUP(Table3[[#This Row],[Shop Name]],seller!A:A,1,0)</f>
        <v>Rudra Fashion</v>
      </c>
    </row>
    <row r="597" spans="1:13" ht="32" x14ac:dyDescent="0.2">
      <c r="A597" s="2">
        <v>597</v>
      </c>
      <c r="B597" s="2" t="s">
        <v>954</v>
      </c>
      <c r="C597" s="2" t="s">
        <v>46</v>
      </c>
      <c r="D597" s="2" t="s">
        <v>940</v>
      </c>
      <c r="E597" s="2" t="s">
        <v>817</v>
      </c>
      <c r="F597" s="2" t="s">
        <v>75</v>
      </c>
      <c r="G597" s="2" t="s">
        <v>48</v>
      </c>
      <c r="H597" s="23">
        <v>575</v>
      </c>
      <c r="I597" s="6">
        <v>900</v>
      </c>
      <c r="J597" s="1" t="s">
        <v>163</v>
      </c>
      <c r="K597" s="6">
        <v>800</v>
      </c>
      <c r="L597" s="1" t="s">
        <v>979</v>
      </c>
      <c r="M597" s="70" t="str">
        <f>VLOOKUP(Table3[[#This Row],[Shop Name]],seller!A:A,1,0)</f>
        <v>Rudra Fashion</v>
      </c>
    </row>
    <row r="598" spans="1:13" ht="32" x14ac:dyDescent="0.2">
      <c r="A598" s="2">
        <v>598</v>
      </c>
      <c r="B598" s="2" t="s">
        <v>954</v>
      </c>
      <c r="C598" s="2" t="s">
        <v>46</v>
      </c>
      <c r="D598" s="2" t="s">
        <v>973</v>
      </c>
      <c r="E598" s="2" t="s">
        <v>642</v>
      </c>
      <c r="F598" s="2" t="s">
        <v>75</v>
      </c>
      <c r="G598" s="2" t="s">
        <v>341</v>
      </c>
      <c r="H598" s="23">
        <v>725</v>
      </c>
      <c r="I598" s="6">
        <v>1100</v>
      </c>
      <c r="J598" s="1" t="s">
        <v>163</v>
      </c>
      <c r="K598" s="6">
        <v>1100</v>
      </c>
      <c r="L598" s="1" t="s">
        <v>974</v>
      </c>
      <c r="M598" s="70" t="str">
        <f>VLOOKUP(Table3[[#This Row],[Shop Name]],seller!A:A,1,0)</f>
        <v>Rudra Fashion</v>
      </c>
    </row>
    <row r="599" spans="1:13" ht="32" x14ac:dyDescent="0.2">
      <c r="A599" s="2">
        <v>599</v>
      </c>
      <c r="B599" s="2" t="s">
        <v>954</v>
      </c>
      <c r="C599" s="2" t="s">
        <v>43</v>
      </c>
      <c r="D599" s="2" t="s">
        <v>961</v>
      </c>
      <c r="E599" s="2" t="s">
        <v>7</v>
      </c>
      <c r="F599" s="2" t="s">
        <v>75</v>
      </c>
      <c r="G599" s="2" t="s">
        <v>341</v>
      </c>
      <c r="H599" s="23">
        <v>865</v>
      </c>
      <c r="I599" s="6">
        <v>1200</v>
      </c>
      <c r="J599" s="1" t="s">
        <v>163</v>
      </c>
      <c r="K599" s="6">
        <v>1150</v>
      </c>
      <c r="L599" s="1" t="s">
        <v>798</v>
      </c>
      <c r="M599" s="70" t="str">
        <f>VLOOKUP(Table3[[#This Row],[Shop Name]],seller!A:A,1,0)</f>
        <v>Rudra Fashion</v>
      </c>
    </row>
    <row r="600" spans="1:13" ht="32" x14ac:dyDescent="0.2">
      <c r="A600" s="2">
        <v>600</v>
      </c>
      <c r="B600" s="2">
        <v>13</v>
      </c>
      <c r="C600" s="2" t="s">
        <v>46</v>
      </c>
      <c r="D600" s="2" t="s">
        <v>941</v>
      </c>
      <c r="E600" s="2" t="s">
        <v>7</v>
      </c>
      <c r="F600" s="2" t="s">
        <v>75</v>
      </c>
      <c r="G600" s="2" t="s">
        <v>341</v>
      </c>
      <c r="H600" s="23">
        <v>485</v>
      </c>
      <c r="I600" s="6">
        <v>820</v>
      </c>
      <c r="J600" s="1" t="s">
        <v>127</v>
      </c>
      <c r="K600" s="6">
        <v>0</v>
      </c>
      <c r="M600" s="70" t="str">
        <f>VLOOKUP(Table3[[#This Row],[Shop Name]],seller!A:A,1,0)</f>
        <v>Rudra Fashion</v>
      </c>
    </row>
    <row r="601" spans="1:13" ht="32" x14ac:dyDescent="0.2">
      <c r="A601" s="2">
        <v>601</v>
      </c>
      <c r="B601" s="2">
        <v>21</v>
      </c>
      <c r="C601" s="2" t="s">
        <v>46</v>
      </c>
      <c r="D601" s="59" t="s">
        <v>942</v>
      </c>
      <c r="E601" s="2" t="s">
        <v>7</v>
      </c>
      <c r="F601" s="2" t="s">
        <v>75</v>
      </c>
      <c r="G601" s="2" t="s">
        <v>285</v>
      </c>
      <c r="H601" s="23">
        <v>805</v>
      </c>
      <c r="I601" s="6">
        <v>1150</v>
      </c>
      <c r="J601" s="1" t="s">
        <v>127</v>
      </c>
      <c r="K601" s="6">
        <v>0</v>
      </c>
      <c r="M601" s="70" t="str">
        <f>VLOOKUP(Table3[[#This Row],[Shop Name]],seller!A:A,1,0)</f>
        <v>Rudra Fashion</v>
      </c>
    </row>
    <row r="602" spans="1:13" ht="32" x14ac:dyDescent="0.2">
      <c r="A602" s="2">
        <v>602</v>
      </c>
      <c r="B602" s="2">
        <v>24</v>
      </c>
      <c r="C602" s="2" t="s">
        <v>46</v>
      </c>
      <c r="D602" s="59" t="s">
        <v>943</v>
      </c>
      <c r="E602" s="2" t="s">
        <v>7</v>
      </c>
      <c r="F602" s="2" t="s">
        <v>75</v>
      </c>
      <c r="G602" s="2" t="s">
        <v>48</v>
      </c>
      <c r="H602" s="23">
        <v>775</v>
      </c>
      <c r="I602" s="6">
        <v>1100</v>
      </c>
      <c r="J602" s="1" t="s">
        <v>127</v>
      </c>
      <c r="K602" s="6">
        <v>0</v>
      </c>
      <c r="M602" s="70" t="str">
        <f>VLOOKUP(Table3[[#This Row],[Shop Name]],seller!A:A,1,0)</f>
        <v>Rudra Fashion</v>
      </c>
    </row>
    <row r="603" spans="1:13" ht="32" x14ac:dyDescent="0.2">
      <c r="A603" s="2">
        <v>603</v>
      </c>
      <c r="B603" s="2">
        <v>20</v>
      </c>
      <c r="C603" s="2" t="s">
        <v>46</v>
      </c>
      <c r="D603" s="2" t="s">
        <v>944</v>
      </c>
      <c r="E603" s="2" t="s">
        <v>7</v>
      </c>
      <c r="F603" s="2" t="s">
        <v>75</v>
      </c>
      <c r="G603" s="2" t="s">
        <v>347</v>
      </c>
      <c r="H603" s="23">
        <v>695</v>
      </c>
      <c r="I603" s="6">
        <v>1050</v>
      </c>
      <c r="J603" s="1" t="s">
        <v>127</v>
      </c>
      <c r="K603" s="6">
        <v>0</v>
      </c>
      <c r="M603" s="70" t="str">
        <f>VLOOKUP(Table3[[#This Row],[Shop Name]],seller!A:A,1,0)</f>
        <v>Rudra Fashion</v>
      </c>
    </row>
    <row r="604" spans="1:13" ht="32" x14ac:dyDescent="0.2">
      <c r="A604" s="2">
        <v>604</v>
      </c>
      <c r="B604" s="2">
        <v>20</v>
      </c>
      <c r="C604" s="2" t="s">
        <v>46</v>
      </c>
      <c r="D604" s="2" t="s">
        <v>944</v>
      </c>
      <c r="E604" s="2" t="s">
        <v>7</v>
      </c>
      <c r="F604" s="2" t="s">
        <v>75</v>
      </c>
      <c r="G604" s="2" t="s">
        <v>341</v>
      </c>
      <c r="H604" s="23">
        <v>695</v>
      </c>
      <c r="I604" s="6">
        <v>1050</v>
      </c>
      <c r="J604" s="1" t="s">
        <v>127</v>
      </c>
      <c r="K604" s="6">
        <v>0</v>
      </c>
      <c r="M604" s="70" t="str">
        <f>VLOOKUP(Table3[[#This Row],[Shop Name]],seller!A:A,1,0)</f>
        <v>Rudra Fashion</v>
      </c>
    </row>
    <row r="605" spans="1:13" ht="32" x14ac:dyDescent="0.2">
      <c r="A605" s="2">
        <v>605</v>
      </c>
      <c r="B605" s="2" t="s">
        <v>954</v>
      </c>
      <c r="C605" s="2" t="s">
        <v>46</v>
      </c>
      <c r="D605" s="2" t="s">
        <v>987</v>
      </c>
      <c r="E605" s="2" t="s">
        <v>817</v>
      </c>
      <c r="F605" s="2" t="s">
        <v>75</v>
      </c>
      <c r="G605" s="2" t="s">
        <v>341</v>
      </c>
      <c r="H605" s="23">
        <v>665</v>
      </c>
      <c r="I605" s="6">
        <v>1050</v>
      </c>
      <c r="J605" s="1" t="s">
        <v>163</v>
      </c>
      <c r="K605" s="6">
        <v>1000</v>
      </c>
      <c r="L605" s="1" t="s">
        <v>960</v>
      </c>
      <c r="M605" s="70" t="str">
        <f>VLOOKUP(Table3[[#This Row],[Shop Name]],seller!A:A,1,0)</f>
        <v>Rudra Fashion</v>
      </c>
    </row>
    <row r="606" spans="1:13" ht="32" x14ac:dyDescent="0.2">
      <c r="A606" s="2">
        <v>606</v>
      </c>
      <c r="B606" s="2" t="s">
        <v>954</v>
      </c>
      <c r="C606" s="2" t="s">
        <v>46</v>
      </c>
      <c r="D606" s="2" t="s">
        <v>966</v>
      </c>
      <c r="E606" s="2" t="s">
        <v>378</v>
      </c>
      <c r="F606" s="2" t="s">
        <v>75</v>
      </c>
      <c r="G606" s="2" t="s">
        <v>347</v>
      </c>
      <c r="H606" s="23">
        <v>605</v>
      </c>
      <c r="I606" s="6">
        <v>950</v>
      </c>
      <c r="J606" s="1" t="s">
        <v>163</v>
      </c>
      <c r="K606" s="6">
        <v>950</v>
      </c>
      <c r="L606" s="1" t="s">
        <v>968</v>
      </c>
      <c r="M606" s="70" t="str">
        <f>VLOOKUP(Table3[[#This Row],[Shop Name]],seller!A:A,1,0)</f>
        <v>Rudra Fashion</v>
      </c>
    </row>
    <row r="607" spans="1:13" ht="32" x14ac:dyDescent="0.2">
      <c r="A607" s="2">
        <v>607</v>
      </c>
      <c r="B607" s="2">
        <v>6</v>
      </c>
      <c r="C607" s="2" t="s">
        <v>46</v>
      </c>
      <c r="D607" s="2" t="s">
        <v>945</v>
      </c>
      <c r="E607" s="2" t="s">
        <v>7</v>
      </c>
      <c r="F607" s="2" t="s">
        <v>75</v>
      </c>
      <c r="G607" s="2" t="s">
        <v>44</v>
      </c>
      <c r="H607" s="23">
        <v>575</v>
      </c>
      <c r="I607" s="6">
        <v>899</v>
      </c>
      <c r="J607" s="1" t="s">
        <v>127</v>
      </c>
      <c r="K607" s="6">
        <v>0</v>
      </c>
      <c r="M607" s="70" t="str">
        <f>VLOOKUP(Table3[[#This Row],[Shop Name]],seller!A:A,1,0)</f>
        <v>Rudra Fashion</v>
      </c>
    </row>
    <row r="608" spans="1:13" ht="32" x14ac:dyDescent="0.2">
      <c r="A608" s="2">
        <v>608</v>
      </c>
      <c r="B608" s="2">
        <v>6</v>
      </c>
      <c r="C608" s="2" t="s">
        <v>46</v>
      </c>
      <c r="D608" s="2" t="s">
        <v>945</v>
      </c>
      <c r="E608" s="2" t="s">
        <v>7</v>
      </c>
      <c r="F608" s="2" t="s">
        <v>75</v>
      </c>
      <c r="G608" s="2" t="s">
        <v>48</v>
      </c>
      <c r="H608" s="23">
        <v>575</v>
      </c>
      <c r="I608" s="6">
        <v>899</v>
      </c>
      <c r="J608" s="1" t="s">
        <v>127</v>
      </c>
      <c r="K608" s="6">
        <v>0</v>
      </c>
      <c r="M608" s="70" t="str">
        <f>VLOOKUP(Table3[[#This Row],[Shop Name]],seller!A:A,1,0)</f>
        <v>Rudra Fashion</v>
      </c>
    </row>
    <row r="609" spans="1:13" ht="32" x14ac:dyDescent="0.2">
      <c r="A609" s="2">
        <v>609</v>
      </c>
      <c r="B609" s="2">
        <v>6</v>
      </c>
      <c r="C609" s="2" t="s">
        <v>46</v>
      </c>
      <c r="D609" s="2" t="s">
        <v>946</v>
      </c>
      <c r="E609" s="2" t="s">
        <v>7</v>
      </c>
      <c r="F609" s="2" t="s">
        <v>75</v>
      </c>
      <c r="G609" s="2" t="s">
        <v>54</v>
      </c>
      <c r="H609" s="23">
        <v>575</v>
      </c>
      <c r="I609" s="6">
        <v>899</v>
      </c>
      <c r="J609" s="1" t="s">
        <v>127</v>
      </c>
      <c r="K609" s="6">
        <v>0</v>
      </c>
      <c r="M609" s="70" t="str">
        <f>VLOOKUP(Table3[[#This Row],[Shop Name]],seller!A:A,1,0)</f>
        <v>Rudra Fashion</v>
      </c>
    </row>
    <row r="610" spans="1:13" ht="32" x14ac:dyDescent="0.2">
      <c r="A610" s="2">
        <v>610</v>
      </c>
      <c r="B610" s="2">
        <v>6</v>
      </c>
      <c r="C610" s="2" t="s">
        <v>46</v>
      </c>
      <c r="D610" s="2" t="s">
        <v>946</v>
      </c>
      <c r="E610" s="2" t="s">
        <v>7</v>
      </c>
      <c r="F610" s="2" t="s">
        <v>75</v>
      </c>
      <c r="G610" s="2" t="s">
        <v>48</v>
      </c>
      <c r="H610" s="23">
        <v>575</v>
      </c>
      <c r="I610" s="6">
        <v>899</v>
      </c>
      <c r="J610" s="1" t="s">
        <v>127</v>
      </c>
      <c r="K610" s="6">
        <v>0</v>
      </c>
      <c r="M610" s="70" t="str">
        <f>VLOOKUP(Table3[[#This Row],[Shop Name]],seller!A:A,1,0)</f>
        <v>Rudra Fashion</v>
      </c>
    </row>
    <row r="611" spans="1:13" ht="32" x14ac:dyDescent="0.2">
      <c r="A611" s="2">
        <v>611</v>
      </c>
      <c r="B611" s="2">
        <v>15</v>
      </c>
      <c r="C611" s="2" t="s">
        <v>46</v>
      </c>
      <c r="D611" s="2" t="s">
        <v>947</v>
      </c>
      <c r="E611" s="2" t="s">
        <v>924</v>
      </c>
      <c r="F611" s="2" t="s">
        <v>75</v>
      </c>
      <c r="G611" s="2" t="s">
        <v>44</v>
      </c>
      <c r="H611" s="23">
        <v>695</v>
      </c>
      <c r="I611" s="6">
        <v>999</v>
      </c>
      <c r="J611" s="1" t="s">
        <v>127</v>
      </c>
      <c r="K611" s="6">
        <v>0</v>
      </c>
      <c r="M611" s="70" t="str">
        <f>VLOOKUP(Table3[[#This Row],[Shop Name]],seller!A:A,1,0)</f>
        <v>Rudra Fashion</v>
      </c>
    </row>
    <row r="612" spans="1:13" x14ac:dyDescent="0.2">
      <c r="A612" s="2">
        <v>612</v>
      </c>
      <c r="B612" s="8" t="s">
        <v>954</v>
      </c>
      <c r="C612" s="2" t="s">
        <v>634</v>
      </c>
      <c r="D612" s="2" t="s">
        <v>967</v>
      </c>
      <c r="E612" s="2" t="s">
        <v>520</v>
      </c>
      <c r="F612" s="2" t="s">
        <v>75</v>
      </c>
      <c r="G612" s="2" t="s">
        <v>56</v>
      </c>
      <c r="H612" s="23">
        <v>925</v>
      </c>
      <c r="I612" s="6">
        <v>1250</v>
      </c>
      <c r="J612" s="39" t="s">
        <v>163</v>
      </c>
      <c r="K612" s="9">
        <v>1125</v>
      </c>
      <c r="L612" s="39" t="s">
        <v>972</v>
      </c>
      <c r="M612" s="70" t="str">
        <f>VLOOKUP(Table3[[#This Row],[Shop Name]],seller!A:A,1,0)</f>
        <v>Rudra Fashion</v>
      </c>
    </row>
    <row r="613" spans="1:13" x14ac:dyDescent="0.2">
      <c r="A613" s="2">
        <v>613</v>
      </c>
      <c r="B613" s="8">
        <v>7</v>
      </c>
      <c r="C613" s="2" t="s">
        <v>634</v>
      </c>
      <c r="D613" s="2" t="s">
        <v>948</v>
      </c>
      <c r="E613" s="2" t="s">
        <v>520</v>
      </c>
      <c r="F613" s="2" t="s">
        <v>75</v>
      </c>
      <c r="G613" s="2"/>
      <c r="H613" s="23">
        <v>925</v>
      </c>
      <c r="I613" s="6">
        <v>1250</v>
      </c>
      <c r="J613" s="39" t="s">
        <v>127</v>
      </c>
      <c r="K613" s="9">
        <v>0</v>
      </c>
      <c r="L613" s="39"/>
      <c r="M613" s="70" t="str">
        <f>VLOOKUP(Table3[[#This Row],[Shop Name]],seller!A:A,1,0)</f>
        <v>Rudra Fashion</v>
      </c>
    </row>
    <row r="614" spans="1:13" ht="32" x14ac:dyDescent="0.2">
      <c r="A614" s="2">
        <v>614</v>
      </c>
      <c r="B614" s="8" t="s">
        <v>954</v>
      </c>
      <c r="C614" s="2" t="s">
        <v>46</v>
      </c>
      <c r="D614" s="8" t="s">
        <v>965</v>
      </c>
      <c r="E614" s="8" t="s">
        <v>949</v>
      </c>
      <c r="F614" s="8" t="s">
        <v>75</v>
      </c>
      <c r="G614" s="8" t="s">
        <v>56</v>
      </c>
      <c r="H614" s="42">
        <v>495</v>
      </c>
      <c r="I614" s="9">
        <v>850</v>
      </c>
      <c r="J614" s="39" t="s">
        <v>163</v>
      </c>
      <c r="K614" s="9">
        <v>850</v>
      </c>
      <c r="L614" s="39" t="s">
        <v>964</v>
      </c>
      <c r="M614" s="70" t="str">
        <f>VLOOKUP(Table3[[#This Row],[Shop Name]],seller!A:A,1,0)</f>
        <v>Rudra Fashion</v>
      </c>
    </row>
    <row r="615" spans="1:13" ht="32" x14ac:dyDescent="0.2">
      <c r="A615" s="2">
        <v>615</v>
      </c>
      <c r="B615" s="8">
        <v>23</v>
      </c>
      <c r="C615" s="2" t="s">
        <v>46</v>
      </c>
      <c r="D615" s="8" t="s">
        <v>951</v>
      </c>
      <c r="E615" s="8" t="s">
        <v>952</v>
      </c>
      <c r="F615" s="8" t="s">
        <v>75</v>
      </c>
      <c r="G615" s="8" t="s">
        <v>44</v>
      </c>
      <c r="H615" s="42">
        <v>1345</v>
      </c>
      <c r="I615" s="9">
        <v>1700</v>
      </c>
      <c r="J615" s="39" t="s">
        <v>127</v>
      </c>
      <c r="K615" s="9">
        <v>0</v>
      </c>
      <c r="L615" s="39"/>
      <c r="M615" s="70" t="str">
        <f>VLOOKUP(Table3[[#This Row],[Shop Name]],seller!A:A,1,0)</f>
        <v>Rudra Fashion</v>
      </c>
    </row>
    <row r="616" spans="1:13" ht="32" x14ac:dyDescent="0.2">
      <c r="A616" s="2">
        <v>616</v>
      </c>
      <c r="B616" s="8" t="s">
        <v>954</v>
      </c>
      <c r="C616" s="2" t="s">
        <v>46</v>
      </c>
      <c r="D616" s="8" t="s">
        <v>986</v>
      </c>
      <c r="E616" s="2" t="s">
        <v>7</v>
      </c>
      <c r="F616" s="8" t="s">
        <v>75</v>
      </c>
      <c r="G616" s="8" t="s">
        <v>44</v>
      </c>
      <c r="H616" s="42">
        <v>395</v>
      </c>
      <c r="I616" s="9">
        <v>700</v>
      </c>
      <c r="J616" s="39" t="s">
        <v>163</v>
      </c>
      <c r="K616" s="9">
        <v>650</v>
      </c>
      <c r="L616" s="39" t="s">
        <v>982</v>
      </c>
      <c r="M616" s="70" t="str">
        <f>VLOOKUP(Table3[[#This Row],[Shop Name]],seller!A:A,1,0)</f>
        <v>Rudra Fashion</v>
      </c>
    </row>
    <row r="617" spans="1:13" ht="32" x14ac:dyDescent="0.2">
      <c r="A617" s="2">
        <v>617</v>
      </c>
      <c r="B617" s="8" t="s">
        <v>954</v>
      </c>
      <c r="C617" s="2" t="s">
        <v>46</v>
      </c>
      <c r="D617" s="8" t="s">
        <v>986</v>
      </c>
      <c r="E617" s="2" t="s">
        <v>7</v>
      </c>
      <c r="F617" s="8" t="s">
        <v>75</v>
      </c>
      <c r="G617" s="8" t="s">
        <v>48</v>
      </c>
      <c r="H617" s="42">
        <v>395</v>
      </c>
      <c r="I617" s="9">
        <v>700</v>
      </c>
      <c r="J617" s="39" t="s">
        <v>163</v>
      </c>
      <c r="K617" s="9">
        <v>675</v>
      </c>
      <c r="L617" s="39" t="s">
        <v>972</v>
      </c>
      <c r="M617" s="70" t="str">
        <f>VLOOKUP(Table3[[#This Row],[Shop Name]],seller!A:A,1,0)</f>
        <v>Rudra Fashion</v>
      </c>
    </row>
    <row r="618" spans="1:13" ht="32" x14ac:dyDescent="0.2">
      <c r="A618" s="2">
        <v>618</v>
      </c>
      <c r="B618" s="2" t="s">
        <v>1017</v>
      </c>
      <c r="C618" s="2" t="s">
        <v>46</v>
      </c>
      <c r="D618" s="2" t="s">
        <v>990</v>
      </c>
      <c r="E618" s="2" t="s">
        <v>817</v>
      </c>
      <c r="F618" s="2" t="s">
        <v>992</v>
      </c>
      <c r="G618" s="2" t="s">
        <v>56</v>
      </c>
      <c r="H618" s="23">
        <v>330</v>
      </c>
      <c r="I618" s="6">
        <v>650</v>
      </c>
      <c r="J618" s="1" t="s">
        <v>127</v>
      </c>
      <c r="K618" s="6">
        <v>0</v>
      </c>
      <c r="M618" s="70" t="str">
        <f>VLOOKUP(Table3[[#This Row],[Shop Name]],seller!A:A,1,0)</f>
        <v>ASG Dream Fashion</v>
      </c>
    </row>
    <row r="619" spans="1:13" ht="32" x14ac:dyDescent="0.2">
      <c r="A619" s="2">
        <v>619</v>
      </c>
      <c r="B619" s="2">
        <v>16</v>
      </c>
      <c r="C619" s="2" t="s">
        <v>46</v>
      </c>
      <c r="D619" s="2" t="s">
        <v>991</v>
      </c>
      <c r="E619" s="2" t="s">
        <v>817</v>
      </c>
      <c r="F619" s="2" t="s">
        <v>992</v>
      </c>
      <c r="G619" s="2" t="s">
        <v>285</v>
      </c>
      <c r="H619" s="23">
        <v>330</v>
      </c>
      <c r="I619" s="6">
        <v>650</v>
      </c>
      <c r="J619" s="1" t="s">
        <v>127</v>
      </c>
      <c r="K619" s="6">
        <v>0</v>
      </c>
      <c r="M619" s="70" t="str">
        <f>VLOOKUP(Table3[[#This Row],[Shop Name]],seller!A:A,1,0)</f>
        <v>ASG Dream Fashion</v>
      </c>
    </row>
    <row r="620" spans="1:13" ht="17" x14ac:dyDescent="0.2">
      <c r="A620" s="2">
        <v>620</v>
      </c>
      <c r="B620" s="8">
        <v>2</v>
      </c>
      <c r="C620" s="8" t="s">
        <v>43</v>
      </c>
      <c r="D620" s="49" t="s">
        <v>994</v>
      </c>
      <c r="E620" s="8" t="s">
        <v>249</v>
      </c>
      <c r="F620" s="2" t="s">
        <v>992</v>
      </c>
      <c r="G620" s="8" t="s">
        <v>44</v>
      </c>
      <c r="H620" s="42">
        <v>530</v>
      </c>
      <c r="I620" s="9">
        <v>850</v>
      </c>
      <c r="J620" s="1" t="s">
        <v>127</v>
      </c>
      <c r="K620" s="6">
        <v>0</v>
      </c>
      <c r="M620" s="70" t="str">
        <f>VLOOKUP(Table3[[#This Row],[Shop Name]],seller!A:A,1,0)</f>
        <v>ASG Dream Fashion</v>
      </c>
    </row>
    <row r="621" spans="1:13" ht="17" x14ac:dyDescent="0.2">
      <c r="A621" s="2">
        <v>621</v>
      </c>
      <c r="B621" s="8">
        <v>2</v>
      </c>
      <c r="C621" s="8" t="s">
        <v>43</v>
      </c>
      <c r="D621" s="49" t="s">
        <v>995</v>
      </c>
      <c r="E621" s="8" t="s">
        <v>249</v>
      </c>
      <c r="F621" s="2" t="s">
        <v>992</v>
      </c>
      <c r="G621" s="8" t="s">
        <v>56</v>
      </c>
      <c r="H621" s="42">
        <v>530</v>
      </c>
      <c r="I621" s="9">
        <v>850</v>
      </c>
      <c r="J621" s="1" t="s">
        <v>127</v>
      </c>
      <c r="K621" s="6">
        <v>0</v>
      </c>
      <c r="M621" s="70" t="str">
        <f>VLOOKUP(Table3[[#This Row],[Shop Name]],seller!A:A,1,0)</f>
        <v>ASG Dream Fashion</v>
      </c>
    </row>
    <row r="622" spans="1:13" ht="17" x14ac:dyDescent="0.2">
      <c r="A622" s="2">
        <v>622</v>
      </c>
      <c r="B622" s="8">
        <v>2</v>
      </c>
      <c r="C622" s="8" t="s">
        <v>43</v>
      </c>
      <c r="D622" s="49" t="s">
        <v>995</v>
      </c>
      <c r="E622" s="8" t="s">
        <v>249</v>
      </c>
      <c r="F622" s="2" t="s">
        <v>992</v>
      </c>
      <c r="G622" s="8" t="s">
        <v>48</v>
      </c>
      <c r="H622" s="42">
        <v>530</v>
      </c>
      <c r="I622" s="9">
        <v>850</v>
      </c>
      <c r="J622" s="1" t="s">
        <v>127</v>
      </c>
      <c r="K622" s="6">
        <v>0</v>
      </c>
      <c r="M622" s="70" t="str">
        <f>VLOOKUP(Table3[[#This Row],[Shop Name]],seller!A:A,1,0)</f>
        <v>ASG Dream Fashion</v>
      </c>
    </row>
    <row r="623" spans="1:13" ht="17" x14ac:dyDescent="0.2">
      <c r="A623" s="2">
        <v>623</v>
      </c>
      <c r="B623" s="8">
        <v>2</v>
      </c>
      <c r="C623" s="8" t="s">
        <v>43</v>
      </c>
      <c r="D623" s="49" t="s">
        <v>995</v>
      </c>
      <c r="E623" s="8" t="s">
        <v>249</v>
      </c>
      <c r="F623" s="2" t="s">
        <v>992</v>
      </c>
      <c r="G623" s="8" t="s">
        <v>54</v>
      </c>
      <c r="H623" s="42">
        <v>530</v>
      </c>
      <c r="I623" s="9">
        <v>850</v>
      </c>
      <c r="J623" s="1" t="s">
        <v>127</v>
      </c>
      <c r="K623" s="6">
        <v>0</v>
      </c>
      <c r="M623" s="70" t="str">
        <f>VLOOKUP(Table3[[#This Row],[Shop Name]],seller!A:A,1,0)</f>
        <v>ASG Dream Fashion</v>
      </c>
    </row>
    <row r="624" spans="1:13" ht="17" x14ac:dyDescent="0.2">
      <c r="A624" s="2">
        <v>624</v>
      </c>
      <c r="B624" s="8">
        <v>2</v>
      </c>
      <c r="C624" s="8" t="s">
        <v>43</v>
      </c>
      <c r="D624" s="49" t="s">
        <v>995</v>
      </c>
      <c r="E624" s="8" t="s">
        <v>249</v>
      </c>
      <c r="F624" s="2" t="s">
        <v>992</v>
      </c>
      <c r="G624" s="8" t="s">
        <v>44</v>
      </c>
      <c r="H624" s="42">
        <v>530</v>
      </c>
      <c r="I624" s="9">
        <v>850</v>
      </c>
      <c r="J624" s="1" t="s">
        <v>127</v>
      </c>
      <c r="K624" s="6">
        <v>0</v>
      </c>
      <c r="M624" s="70" t="str">
        <f>VLOOKUP(Table3[[#This Row],[Shop Name]],seller!A:A,1,0)</f>
        <v>ASG Dream Fashion</v>
      </c>
    </row>
    <row r="625" spans="1:13" ht="32" x14ac:dyDescent="0.2">
      <c r="A625" s="2">
        <v>625</v>
      </c>
      <c r="B625" s="2">
        <v>5</v>
      </c>
      <c r="C625" s="2" t="s">
        <v>46</v>
      </c>
      <c r="D625" s="2" t="s">
        <v>996</v>
      </c>
      <c r="E625" s="2" t="s">
        <v>817</v>
      </c>
      <c r="F625" s="2" t="s">
        <v>992</v>
      </c>
      <c r="G625" s="2" t="s">
        <v>56</v>
      </c>
      <c r="H625" s="23">
        <v>420</v>
      </c>
      <c r="I625" s="6">
        <v>750</v>
      </c>
      <c r="J625" s="1" t="s">
        <v>127</v>
      </c>
      <c r="K625" s="6">
        <v>0</v>
      </c>
      <c r="M625" s="70" t="str">
        <f>VLOOKUP(Table3[[#This Row],[Shop Name]],seller!A:A,1,0)</f>
        <v>ASG Dream Fashion</v>
      </c>
    </row>
    <row r="626" spans="1:13" ht="32" x14ac:dyDescent="0.2">
      <c r="A626" s="2">
        <v>626</v>
      </c>
      <c r="B626" s="2">
        <v>5</v>
      </c>
      <c r="C626" s="2" t="s">
        <v>46</v>
      </c>
      <c r="D626" s="2" t="s">
        <v>997</v>
      </c>
      <c r="E626" s="2" t="s">
        <v>817</v>
      </c>
      <c r="F626" s="2" t="s">
        <v>992</v>
      </c>
      <c r="G626" s="2" t="s">
        <v>56</v>
      </c>
      <c r="H626" s="23">
        <v>420</v>
      </c>
      <c r="I626" s="6">
        <v>750</v>
      </c>
      <c r="J626" s="1" t="s">
        <v>127</v>
      </c>
      <c r="K626" s="6">
        <v>0</v>
      </c>
      <c r="L626" s="39"/>
      <c r="M626" s="70" t="str">
        <f>VLOOKUP(Table3[[#This Row],[Shop Name]],seller!A:A,1,0)</f>
        <v>ASG Dream Fashion</v>
      </c>
    </row>
    <row r="627" spans="1:13" ht="32" x14ac:dyDescent="0.2">
      <c r="A627" s="2">
        <v>627</v>
      </c>
      <c r="B627" s="8">
        <v>5</v>
      </c>
      <c r="C627" s="2" t="s">
        <v>46</v>
      </c>
      <c r="D627" s="2" t="s">
        <v>998</v>
      </c>
      <c r="E627" s="2" t="s">
        <v>817</v>
      </c>
      <c r="F627" s="2" t="s">
        <v>992</v>
      </c>
      <c r="G627" s="2" t="s">
        <v>56</v>
      </c>
      <c r="H627" s="23">
        <v>420</v>
      </c>
      <c r="I627" s="6">
        <v>750</v>
      </c>
      <c r="J627" s="1" t="s">
        <v>127</v>
      </c>
      <c r="K627" s="6">
        <v>0</v>
      </c>
      <c r="M627" s="70" t="str">
        <f>VLOOKUP(Table3[[#This Row],[Shop Name]],seller!A:A,1,0)</f>
        <v>ASG Dream Fashion</v>
      </c>
    </row>
    <row r="628" spans="1:13" ht="32" x14ac:dyDescent="0.2">
      <c r="A628" s="2">
        <v>628</v>
      </c>
      <c r="B628" s="2">
        <v>5</v>
      </c>
      <c r="C628" s="2" t="s">
        <v>46</v>
      </c>
      <c r="D628" s="2" t="s">
        <v>999</v>
      </c>
      <c r="E628" s="2" t="s">
        <v>817</v>
      </c>
      <c r="F628" s="2" t="s">
        <v>992</v>
      </c>
      <c r="G628" s="2" t="s">
        <v>56</v>
      </c>
      <c r="H628" s="23">
        <v>420</v>
      </c>
      <c r="I628" s="6">
        <v>750</v>
      </c>
      <c r="J628" s="1" t="s">
        <v>127</v>
      </c>
      <c r="K628" s="6">
        <v>0</v>
      </c>
      <c r="M628" s="70" t="str">
        <f>VLOOKUP(Table3[[#This Row],[Shop Name]],seller!A:A,1,0)</f>
        <v>ASG Dream Fashion</v>
      </c>
    </row>
    <row r="629" spans="1:13" ht="32" x14ac:dyDescent="0.2">
      <c r="A629" s="2">
        <v>629</v>
      </c>
      <c r="B629" s="2">
        <v>5</v>
      </c>
      <c r="C629" s="2" t="s">
        <v>46</v>
      </c>
      <c r="D629" s="2" t="s">
        <v>1000</v>
      </c>
      <c r="E629" s="2" t="s">
        <v>817</v>
      </c>
      <c r="F629" s="2" t="s">
        <v>992</v>
      </c>
      <c r="G629" s="2" t="s">
        <v>341</v>
      </c>
      <c r="H629" s="23">
        <v>420</v>
      </c>
      <c r="I629" s="6">
        <v>750</v>
      </c>
      <c r="J629" s="1" t="s">
        <v>127</v>
      </c>
      <c r="K629" s="6">
        <v>0</v>
      </c>
      <c r="M629" s="70" t="str">
        <f>VLOOKUP(Table3[[#This Row],[Shop Name]],seller!A:A,1,0)</f>
        <v>ASG Dream Fashion</v>
      </c>
    </row>
    <row r="630" spans="1:13" ht="32" x14ac:dyDescent="0.2">
      <c r="A630" s="2">
        <v>630</v>
      </c>
      <c r="B630" s="2">
        <v>5</v>
      </c>
      <c r="C630" s="2" t="s">
        <v>46</v>
      </c>
      <c r="D630" s="2" t="s">
        <v>1001</v>
      </c>
      <c r="E630" s="2" t="s">
        <v>817</v>
      </c>
      <c r="F630" s="2" t="s">
        <v>992</v>
      </c>
      <c r="G630" s="2" t="s">
        <v>285</v>
      </c>
      <c r="H630" s="23">
        <v>420</v>
      </c>
      <c r="I630" s="6">
        <v>750</v>
      </c>
      <c r="J630" s="1" t="s">
        <v>127</v>
      </c>
      <c r="K630" s="6">
        <v>0</v>
      </c>
      <c r="M630" s="70" t="str">
        <f>VLOOKUP(Table3[[#This Row],[Shop Name]],seller!A:A,1,0)</f>
        <v>ASG Dream Fashion</v>
      </c>
    </row>
    <row r="631" spans="1:13" x14ac:dyDescent="0.2">
      <c r="A631" s="2">
        <v>631</v>
      </c>
      <c r="B631" s="2">
        <v>1</v>
      </c>
      <c r="C631" s="2" t="s">
        <v>634</v>
      </c>
      <c r="D631" s="2" t="s">
        <v>1002</v>
      </c>
      <c r="E631" s="2" t="s">
        <v>520</v>
      </c>
      <c r="F631" s="2" t="s">
        <v>992</v>
      </c>
      <c r="G631" s="2" t="s">
        <v>347</v>
      </c>
      <c r="H631" s="23">
        <v>980</v>
      </c>
      <c r="I631" s="6">
        <v>1300</v>
      </c>
      <c r="J631" s="39" t="s">
        <v>127</v>
      </c>
      <c r="K631" s="9">
        <v>0</v>
      </c>
      <c r="M631" s="70" t="str">
        <f>VLOOKUP(Table3[[#This Row],[Shop Name]],seller!A:A,1,0)</f>
        <v>ASG Dream Fashion</v>
      </c>
    </row>
    <row r="632" spans="1:13" x14ac:dyDescent="0.2">
      <c r="A632" s="2">
        <v>632</v>
      </c>
      <c r="B632" s="2">
        <v>1</v>
      </c>
      <c r="C632" s="2" t="s">
        <v>634</v>
      </c>
      <c r="D632" s="2" t="s">
        <v>1003</v>
      </c>
      <c r="E632" s="2" t="s">
        <v>520</v>
      </c>
      <c r="F632" s="2" t="s">
        <v>992</v>
      </c>
      <c r="G632" s="2" t="s">
        <v>347</v>
      </c>
      <c r="H632" s="23">
        <v>980</v>
      </c>
      <c r="I632" s="6">
        <v>1300</v>
      </c>
      <c r="J632" s="39" t="s">
        <v>127</v>
      </c>
      <c r="K632" s="9">
        <v>0</v>
      </c>
      <c r="M632" s="70" t="str">
        <f>VLOOKUP(Table3[[#This Row],[Shop Name]],seller!A:A,1,0)</f>
        <v>ASG Dream Fashion</v>
      </c>
    </row>
    <row r="633" spans="1:13" x14ac:dyDescent="0.2">
      <c r="A633" s="2">
        <v>633</v>
      </c>
      <c r="B633" s="2">
        <v>1</v>
      </c>
      <c r="C633" s="2" t="s">
        <v>634</v>
      </c>
      <c r="D633" s="2" t="s">
        <v>1003</v>
      </c>
      <c r="E633" s="2" t="s">
        <v>520</v>
      </c>
      <c r="F633" s="2" t="s">
        <v>992</v>
      </c>
      <c r="G633" s="2" t="s">
        <v>48</v>
      </c>
      <c r="H633" s="23">
        <v>980</v>
      </c>
      <c r="I633" s="6">
        <v>1300</v>
      </c>
      <c r="J633" s="39" t="s">
        <v>127</v>
      </c>
      <c r="K633" s="9">
        <v>0</v>
      </c>
      <c r="M633" s="70" t="str">
        <f>VLOOKUP(Table3[[#This Row],[Shop Name]],seller!A:A,1,0)</f>
        <v>ASG Dream Fashion</v>
      </c>
    </row>
    <row r="634" spans="1:13" x14ac:dyDescent="0.2">
      <c r="A634" s="2">
        <v>634</v>
      </c>
      <c r="B634" s="2">
        <v>1</v>
      </c>
      <c r="C634" s="2" t="s">
        <v>634</v>
      </c>
      <c r="D634" s="2" t="s">
        <v>1004</v>
      </c>
      <c r="E634" s="2" t="s">
        <v>520</v>
      </c>
      <c r="F634" s="2" t="s">
        <v>992</v>
      </c>
      <c r="G634" s="2" t="s">
        <v>48</v>
      </c>
      <c r="H634" s="23">
        <v>980</v>
      </c>
      <c r="I634" s="6">
        <v>1300</v>
      </c>
      <c r="J634" s="39" t="s">
        <v>127</v>
      </c>
      <c r="K634" s="9">
        <v>0</v>
      </c>
      <c r="M634" s="70" t="str">
        <f>VLOOKUP(Table3[[#This Row],[Shop Name]],seller!A:A,1,0)</f>
        <v>ASG Dream Fashion</v>
      </c>
    </row>
    <row r="635" spans="1:13" x14ac:dyDescent="0.2">
      <c r="A635" s="2">
        <v>635</v>
      </c>
      <c r="B635" s="2">
        <v>8</v>
      </c>
      <c r="C635" s="2" t="s">
        <v>43</v>
      </c>
      <c r="D635" s="2" t="s">
        <v>1005</v>
      </c>
      <c r="E635" s="2" t="s">
        <v>817</v>
      </c>
      <c r="F635" s="2" t="s">
        <v>992</v>
      </c>
      <c r="G635" s="2" t="s">
        <v>44</v>
      </c>
      <c r="H635" s="23">
        <v>640</v>
      </c>
      <c r="I635" s="6">
        <v>999</v>
      </c>
      <c r="J635" s="1" t="s">
        <v>127</v>
      </c>
      <c r="K635" s="6">
        <v>0</v>
      </c>
      <c r="M635" s="70" t="str">
        <f>VLOOKUP(Table3[[#This Row],[Shop Name]],seller!A:A,1,0)</f>
        <v>ASG Dream Fashion</v>
      </c>
    </row>
    <row r="636" spans="1:13" x14ac:dyDescent="0.2">
      <c r="A636" s="2">
        <v>636</v>
      </c>
      <c r="B636" s="2">
        <v>8</v>
      </c>
      <c r="C636" s="2" t="s">
        <v>43</v>
      </c>
      <c r="D636" s="2" t="s">
        <v>1006</v>
      </c>
      <c r="E636" s="2" t="s">
        <v>817</v>
      </c>
      <c r="F636" s="2" t="s">
        <v>992</v>
      </c>
      <c r="G636" s="2" t="s">
        <v>48</v>
      </c>
      <c r="H636" s="23">
        <v>640</v>
      </c>
      <c r="I636" s="6">
        <v>999</v>
      </c>
      <c r="J636" s="1" t="s">
        <v>127</v>
      </c>
      <c r="K636" s="6">
        <v>0</v>
      </c>
      <c r="M636" s="70" t="str">
        <f>VLOOKUP(Table3[[#This Row],[Shop Name]],seller!A:A,1,0)</f>
        <v>ASG Dream Fashion</v>
      </c>
    </row>
    <row r="637" spans="1:13" x14ac:dyDescent="0.2">
      <c r="A637" s="2">
        <v>637</v>
      </c>
      <c r="B637" s="2">
        <v>8</v>
      </c>
      <c r="C637" s="2" t="s">
        <v>43</v>
      </c>
      <c r="D637" s="2" t="s">
        <v>1007</v>
      </c>
      <c r="E637" s="2" t="s">
        <v>817</v>
      </c>
      <c r="F637" s="2" t="s">
        <v>992</v>
      </c>
      <c r="G637" s="2" t="s">
        <v>54</v>
      </c>
      <c r="H637" s="23">
        <v>640</v>
      </c>
      <c r="I637" s="6">
        <v>999</v>
      </c>
      <c r="J637" s="1" t="s">
        <v>127</v>
      </c>
      <c r="K637" s="6">
        <v>0</v>
      </c>
      <c r="M637" s="70" t="str">
        <f>VLOOKUP(Table3[[#This Row],[Shop Name]],seller!A:A,1,0)</f>
        <v>ASG Dream Fashion</v>
      </c>
    </row>
    <row r="638" spans="1:13" x14ac:dyDescent="0.2">
      <c r="A638" s="2">
        <v>638</v>
      </c>
      <c r="B638" s="2">
        <v>3</v>
      </c>
      <c r="C638" s="2" t="s">
        <v>43</v>
      </c>
      <c r="D638" s="2" t="s">
        <v>1011</v>
      </c>
      <c r="E638" s="2" t="s">
        <v>753</v>
      </c>
      <c r="F638" s="2" t="s">
        <v>992</v>
      </c>
      <c r="G638" s="2" t="s">
        <v>44</v>
      </c>
      <c r="H638" s="23">
        <v>795</v>
      </c>
      <c r="I638" s="6">
        <v>1200</v>
      </c>
      <c r="J638" s="1" t="s">
        <v>127</v>
      </c>
      <c r="K638" s="6">
        <v>0</v>
      </c>
      <c r="M638" s="70" t="str">
        <f>VLOOKUP(Table3[[#This Row],[Shop Name]],seller!A:A,1,0)</f>
        <v>ASG Dream Fashion</v>
      </c>
    </row>
    <row r="639" spans="1:13" x14ac:dyDescent="0.2">
      <c r="A639" s="2">
        <v>639</v>
      </c>
      <c r="B639" s="2">
        <v>3</v>
      </c>
      <c r="C639" s="2" t="s">
        <v>43</v>
      </c>
      <c r="D639" s="2" t="s">
        <v>1011</v>
      </c>
      <c r="E639" s="2" t="s">
        <v>753</v>
      </c>
      <c r="F639" s="2" t="s">
        <v>992</v>
      </c>
      <c r="G639" s="2" t="s">
        <v>48</v>
      </c>
      <c r="H639" s="23">
        <v>795</v>
      </c>
      <c r="I639" s="6">
        <v>1200</v>
      </c>
      <c r="J639" s="1" t="s">
        <v>127</v>
      </c>
      <c r="K639" s="6">
        <v>0</v>
      </c>
      <c r="M639" s="70" t="str">
        <f>VLOOKUP(Table3[[#This Row],[Shop Name]],seller!A:A,1,0)</f>
        <v>ASG Dream Fashion</v>
      </c>
    </row>
    <row r="640" spans="1:13" x14ac:dyDescent="0.2">
      <c r="A640" s="2">
        <v>640</v>
      </c>
      <c r="B640" s="2">
        <v>3</v>
      </c>
      <c r="C640" s="2" t="s">
        <v>43</v>
      </c>
      <c r="D640" s="2" t="s">
        <v>1012</v>
      </c>
      <c r="E640" s="2" t="s">
        <v>614</v>
      </c>
      <c r="F640" s="2" t="s">
        <v>992</v>
      </c>
      <c r="G640" s="2" t="s">
        <v>54</v>
      </c>
      <c r="H640" s="23">
        <v>795</v>
      </c>
      <c r="I640" s="6">
        <v>1200</v>
      </c>
      <c r="J640" s="1" t="s">
        <v>127</v>
      </c>
      <c r="K640" s="6">
        <v>0</v>
      </c>
      <c r="M640" s="70" t="str">
        <f>VLOOKUP(Table3[[#This Row],[Shop Name]],seller!A:A,1,0)</f>
        <v>ASG Dream Fashion</v>
      </c>
    </row>
    <row r="641" spans="1:13" x14ac:dyDescent="0.2">
      <c r="A641" s="2">
        <v>641</v>
      </c>
      <c r="B641" s="2">
        <v>3</v>
      </c>
      <c r="C641" s="2" t="s">
        <v>43</v>
      </c>
      <c r="D641" s="2" t="s">
        <v>1012</v>
      </c>
      <c r="E641" s="2" t="s">
        <v>614</v>
      </c>
      <c r="F641" s="2" t="s">
        <v>992</v>
      </c>
      <c r="G641" s="2" t="s">
        <v>49</v>
      </c>
      <c r="H641" s="23">
        <v>795</v>
      </c>
      <c r="I641" s="6">
        <v>1200</v>
      </c>
      <c r="J641" s="1" t="s">
        <v>127</v>
      </c>
      <c r="K641" s="6">
        <v>0</v>
      </c>
      <c r="M641" s="70" t="str">
        <f>VLOOKUP(Table3[[#This Row],[Shop Name]],seller!A:A,1,0)</f>
        <v>ASG Dream Fashion</v>
      </c>
    </row>
    <row r="642" spans="1:13" ht="17" x14ac:dyDescent="0.2">
      <c r="A642" s="2">
        <v>642</v>
      </c>
      <c r="B642" s="2">
        <v>4</v>
      </c>
      <c r="C642" s="8" t="s">
        <v>280</v>
      </c>
      <c r="D642" s="8" t="s">
        <v>1013</v>
      </c>
      <c r="E642" s="8" t="s">
        <v>642</v>
      </c>
      <c r="F642" s="2" t="s">
        <v>992</v>
      </c>
      <c r="G642" s="8" t="s">
        <v>48</v>
      </c>
      <c r="H642" s="42">
        <v>880</v>
      </c>
      <c r="I642" s="9">
        <v>1250</v>
      </c>
      <c r="J642" s="1" t="s">
        <v>127</v>
      </c>
      <c r="K642" s="6">
        <v>0</v>
      </c>
      <c r="M642" s="70" t="str">
        <f>VLOOKUP(Table3[[#This Row],[Shop Name]],seller!A:A,1,0)</f>
        <v>ASG Dream Fashion</v>
      </c>
    </row>
    <row r="643" spans="1:13" ht="17" x14ac:dyDescent="0.2">
      <c r="A643" s="2">
        <v>643</v>
      </c>
      <c r="B643" s="2">
        <v>4</v>
      </c>
      <c r="C643" s="8" t="s">
        <v>280</v>
      </c>
      <c r="D643" s="8" t="s">
        <v>1013</v>
      </c>
      <c r="E643" s="8" t="s">
        <v>642</v>
      </c>
      <c r="F643" s="2" t="s">
        <v>992</v>
      </c>
      <c r="G643" s="8" t="s">
        <v>44</v>
      </c>
      <c r="H643" s="42">
        <v>880</v>
      </c>
      <c r="I643" s="9">
        <v>1250</v>
      </c>
      <c r="J643" s="1" t="s">
        <v>127</v>
      </c>
      <c r="K643" s="6">
        <v>0</v>
      </c>
      <c r="M643" s="70" t="str">
        <f>VLOOKUP(Table3[[#This Row],[Shop Name]],seller!A:A,1,0)</f>
        <v>ASG Dream Fashion</v>
      </c>
    </row>
    <row r="644" spans="1:13" ht="17" x14ac:dyDescent="0.2">
      <c r="A644" s="2">
        <v>644</v>
      </c>
      <c r="B644" s="2">
        <v>4</v>
      </c>
      <c r="C644" s="8" t="s">
        <v>280</v>
      </c>
      <c r="D644" s="8" t="s">
        <v>1014</v>
      </c>
      <c r="E644" s="8" t="s">
        <v>642</v>
      </c>
      <c r="F644" s="2" t="s">
        <v>992</v>
      </c>
      <c r="G644" s="8" t="s">
        <v>54</v>
      </c>
      <c r="H644" s="42">
        <v>880</v>
      </c>
      <c r="I644" s="9">
        <v>1250</v>
      </c>
      <c r="J644" s="1" t="s">
        <v>127</v>
      </c>
      <c r="K644" s="6">
        <v>0</v>
      </c>
      <c r="M644" s="70" t="str">
        <f>VLOOKUP(Table3[[#This Row],[Shop Name]],seller!A:A,1,0)</f>
        <v>ASG Dream Fashion</v>
      </c>
    </row>
    <row r="645" spans="1:13" ht="17" x14ac:dyDescent="0.2">
      <c r="A645" s="2">
        <v>645</v>
      </c>
      <c r="B645" s="2">
        <v>6</v>
      </c>
      <c r="C645" s="8" t="s">
        <v>43</v>
      </c>
      <c r="D645" s="49" t="s">
        <v>1015</v>
      </c>
      <c r="E645" s="8" t="s">
        <v>614</v>
      </c>
      <c r="F645" s="2" t="s">
        <v>992</v>
      </c>
      <c r="G645" s="8" t="s">
        <v>56</v>
      </c>
      <c r="H645" s="42">
        <v>695</v>
      </c>
      <c r="I645" s="9">
        <v>1050</v>
      </c>
      <c r="J645" s="1" t="s">
        <v>127</v>
      </c>
      <c r="K645" s="6">
        <v>0</v>
      </c>
      <c r="M645" s="70" t="str">
        <f>VLOOKUP(Table3[[#This Row],[Shop Name]],seller!A:A,1,0)</f>
        <v>ASG Dream Fashion</v>
      </c>
    </row>
    <row r="646" spans="1:13" ht="17" x14ac:dyDescent="0.2">
      <c r="A646" s="2">
        <v>646</v>
      </c>
      <c r="B646" s="2">
        <v>6</v>
      </c>
      <c r="C646" s="8" t="s">
        <v>43</v>
      </c>
      <c r="D646" s="49" t="s">
        <v>1015</v>
      </c>
      <c r="E646" s="8" t="s">
        <v>614</v>
      </c>
      <c r="F646" s="2" t="s">
        <v>992</v>
      </c>
      <c r="G646" s="8" t="s">
        <v>48</v>
      </c>
      <c r="H646" s="42">
        <v>695</v>
      </c>
      <c r="I646" s="9">
        <v>1050</v>
      </c>
      <c r="J646" s="1" t="s">
        <v>127</v>
      </c>
      <c r="K646" s="6">
        <v>0</v>
      </c>
      <c r="M646" s="70" t="str">
        <f>VLOOKUP(Table3[[#This Row],[Shop Name]],seller!A:A,1,0)</f>
        <v>ASG Dream Fashion</v>
      </c>
    </row>
    <row r="647" spans="1:13" x14ac:dyDescent="0.2">
      <c r="A647" s="2">
        <v>647</v>
      </c>
      <c r="B647" s="2">
        <v>11</v>
      </c>
      <c r="C647" s="2" t="s">
        <v>53</v>
      </c>
      <c r="D647" s="2" t="s">
        <v>1016</v>
      </c>
      <c r="E647" s="2" t="s">
        <v>60</v>
      </c>
      <c r="F647" s="2" t="s">
        <v>992</v>
      </c>
      <c r="G647" s="2" t="s">
        <v>56</v>
      </c>
      <c r="H647" s="23">
        <v>940</v>
      </c>
      <c r="I647" s="6">
        <v>1300</v>
      </c>
      <c r="J647" s="1" t="s">
        <v>127</v>
      </c>
      <c r="K647" s="6">
        <v>0</v>
      </c>
      <c r="M647" s="70" t="str">
        <f>VLOOKUP(Table3[[#This Row],[Shop Name]],seller!A:A,1,0)</f>
        <v>ASG Dream Fashion</v>
      </c>
    </row>
    <row r="648" spans="1:13" x14ac:dyDescent="0.2">
      <c r="A648" s="2">
        <v>648</v>
      </c>
      <c r="B648" s="2">
        <v>12</v>
      </c>
      <c r="C648" s="2" t="s">
        <v>53</v>
      </c>
      <c r="D648" s="2" t="s">
        <v>1018</v>
      </c>
      <c r="E648" s="2" t="s">
        <v>1019</v>
      </c>
      <c r="F648" s="2" t="s">
        <v>992</v>
      </c>
      <c r="G648" s="2" t="s">
        <v>56</v>
      </c>
      <c r="H648" s="23">
        <v>1080</v>
      </c>
      <c r="I648" s="6">
        <v>1380</v>
      </c>
      <c r="J648" s="1" t="s">
        <v>127</v>
      </c>
      <c r="K648" s="6">
        <v>0</v>
      </c>
      <c r="M648" s="70" t="str">
        <f>VLOOKUP(Table3[[#This Row],[Shop Name]],seller!A:A,1,0)</f>
        <v>ASG Dream Fashion</v>
      </c>
    </row>
    <row r="649" spans="1:13" ht="32" x14ac:dyDescent="0.2">
      <c r="A649" s="2">
        <v>649</v>
      </c>
      <c r="B649" s="2">
        <v>9</v>
      </c>
      <c r="C649" s="2" t="s">
        <v>46</v>
      </c>
      <c r="D649" s="2" t="s">
        <v>1022</v>
      </c>
      <c r="E649" s="2" t="s">
        <v>1021</v>
      </c>
      <c r="F649" s="2" t="s">
        <v>992</v>
      </c>
      <c r="G649" s="2" t="s">
        <v>48</v>
      </c>
      <c r="H649" s="23">
        <v>760</v>
      </c>
      <c r="I649" s="6">
        <v>1070</v>
      </c>
      <c r="J649" s="1" t="s">
        <v>127</v>
      </c>
      <c r="K649" s="6">
        <v>0</v>
      </c>
      <c r="M649" s="70" t="str">
        <f>VLOOKUP(Table3[[#This Row],[Shop Name]],seller!A:A,1,0)</f>
        <v>ASG Dream Fashion</v>
      </c>
    </row>
    <row r="650" spans="1:13" ht="32" x14ac:dyDescent="0.2">
      <c r="A650" s="2">
        <v>650</v>
      </c>
      <c r="B650" s="2">
        <v>9</v>
      </c>
      <c r="C650" s="2" t="s">
        <v>46</v>
      </c>
      <c r="D650" s="2" t="s">
        <v>1023</v>
      </c>
      <c r="E650" s="2" t="s">
        <v>1021</v>
      </c>
      <c r="F650" s="2" t="s">
        <v>992</v>
      </c>
      <c r="G650" s="2" t="s">
        <v>54</v>
      </c>
      <c r="H650" s="23">
        <v>760</v>
      </c>
      <c r="I650" s="6">
        <v>1070</v>
      </c>
      <c r="J650" s="1" t="s">
        <v>127</v>
      </c>
      <c r="K650" s="6">
        <v>0</v>
      </c>
      <c r="M650" s="70" t="str">
        <f>VLOOKUP(Table3[[#This Row],[Shop Name]],seller!A:A,1,0)</f>
        <v>ASG Dream Fashion</v>
      </c>
    </row>
    <row r="651" spans="1:13" x14ac:dyDescent="0.2">
      <c r="A651" s="2">
        <v>651</v>
      </c>
      <c r="B651" s="2">
        <v>7</v>
      </c>
      <c r="C651" s="2" t="s">
        <v>53</v>
      </c>
      <c r="D651" s="2" t="s">
        <v>1031</v>
      </c>
      <c r="E651" s="2" t="s">
        <v>817</v>
      </c>
      <c r="F651" s="2" t="s">
        <v>992</v>
      </c>
      <c r="G651" s="2" t="s">
        <v>347</v>
      </c>
      <c r="H651" s="23">
        <v>490</v>
      </c>
      <c r="I651" s="6">
        <v>800</v>
      </c>
      <c r="J651" s="1" t="s">
        <v>127</v>
      </c>
      <c r="K651" s="6">
        <v>0</v>
      </c>
      <c r="M651" s="70" t="str">
        <f>VLOOKUP(Table3[[#This Row],[Shop Name]],seller!A:A,1,0)</f>
        <v>ASG Dream Fashion</v>
      </c>
    </row>
    <row r="652" spans="1:13" x14ac:dyDescent="0.2">
      <c r="A652" s="2">
        <v>652</v>
      </c>
      <c r="B652" s="2">
        <v>7</v>
      </c>
      <c r="C652" s="2" t="s">
        <v>53</v>
      </c>
      <c r="D652" s="2" t="s">
        <v>1031</v>
      </c>
      <c r="E652" s="2" t="s">
        <v>817</v>
      </c>
      <c r="F652" s="2" t="s">
        <v>992</v>
      </c>
      <c r="G652" s="2" t="s">
        <v>48</v>
      </c>
      <c r="H652" s="23">
        <v>490</v>
      </c>
      <c r="I652" s="6">
        <v>800</v>
      </c>
      <c r="J652" s="1" t="s">
        <v>127</v>
      </c>
      <c r="K652" s="6">
        <v>0</v>
      </c>
      <c r="M652" s="70" t="str">
        <f>VLOOKUP(Table3[[#This Row],[Shop Name]],seller!A:A,1,0)</f>
        <v>ASG Dream Fashion</v>
      </c>
    </row>
    <row r="653" spans="1:13" x14ac:dyDescent="0.2">
      <c r="A653" s="2">
        <v>653</v>
      </c>
      <c r="B653" s="2">
        <v>14</v>
      </c>
      <c r="C653" s="2" t="s">
        <v>832</v>
      </c>
      <c r="D653" s="2" t="s">
        <v>1025</v>
      </c>
      <c r="E653" s="2" t="s">
        <v>817</v>
      </c>
      <c r="F653" s="2" t="s">
        <v>992</v>
      </c>
      <c r="G653" s="2" t="s">
        <v>48</v>
      </c>
      <c r="H653" s="23">
        <v>590</v>
      </c>
      <c r="I653" s="6">
        <v>950</v>
      </c>
      <c r="J653" s="1" t="s">
        <v>127</v>
      </c>
      <c r="K653" s="6">
        <v>0</v>
      </c>
      <c r="M653" s="70" t="str">
        <f>VLOOKUP(Table3[[#This Row],[Shop Name]],seller!A:A,1,0)</f>
        <v>ASG Dream Fashion</v>
      </c>
    </row>
    <row r="654" spans="1:13" x14ac:dyDescent="0.2">
      <c r="A654" s="2">
        <v>654</v>
      </c>
      <c r="B654" s="2">
        <v>14</v>
      </c>
      <c r="C654" s="2" t="s">
        <v>832</v>
      </c>
      <c r="D654" s="2" t="s">
        <v>1025</v>
      </c>
      <c r="E654" s="2" t="s">
        <v>817</v>
      </c>
      <c r="F654" s="2" t="s">
        <v>992</v>
      </c>
      <c r="G654" s="2" t="s">
        <v>56</v>
      </c>
      <c r="H654" s="23">
        <v>590</v>
      </c>
      <c r="I654" s="6">
        <v>950</v>
      </c>
      <c r="J654" s="1" t="s">
        <v>127</v>
      </c>
      <c r="K654" s="6">
        <v>0</v>
      </c>
      <c r="M654" s="70" t="str">
        <f>VLOOKUP(Table3[[#This Row],[Shop Name]],seller!A:A,1,0)</f>
        <v>ASG Dream Fashion</v>
      </c>
    </row>
    <row r="655" spans="1:13" ht="32" x14ac:dyDescent="0.2">
      <c r="A655" s="2">
        <v>655</v>
      </c>
      <c r="B655" s="2">
        <v>22</v>
      </c>
      <c r="C655" s="2" t="s">
        <v>46</v>
      </c>
      <c r="D655" s="2" t="s">
        <v>1026</v>
      </c>
      <c r="E655" s="2" t="s">
        <v>817</v>
      </c>
      <c r="F655" s="2" t="s">
        <v>992</v>
      </c>
      <c r="G655" s="2" t="s">
        <v>44</v>
      </c>
      <c r="H655" s="23">
        <v>705</v>
      </c>
      <c r="I655" s="6">
        <v>999</v>
      </c>
      <c r="J655" s="1" t="s">
        <v>127</v>
      </c>
      <c r="K655" s="6">
        <v>0</v>
      </c>
      <c r="M655" s="70" t="str">
        <f>VLOOKUP(Table3[[#This Row],[Shop Name]],seller!A:A,1,0)</f>
        <v>ASG Dream Fashion</v>
      </c>
    </row>
    <row r="656" spans="1:13" ht="32" x14ac:dyDescent="0.2">
      <c r="A656" s="2">
        <v>656</v>
      </c>
      <c r="B656" s="2">
        <v>13</v>
      </c>
      <c r="C656" s="2" t="s">
        <v>46</v>
      </c>
      <c r="D656" s="2" t="s">
        <v>1027</v>
      </c>
      <c r="E656" s="2" t="s">
        <v>817</v>
      </c>
      <c r="F656" s="2" t="s">
        <v>992</v>
      </c>
      <c r="G656" s="2" t="s">
        <v>48</v>
      </c>
      <c r="H656" s="23">
        <v>640</v>
      </c>
      <c r="I656" s="6">
        <v>960</v>
      </c>
      <c r="J656" s="1" t="s">
        <v>127</v>
      </c>
      <c r="K656" s="6">
        <v>0</v>
      </c>
      <c r="M656" s="70" t="str">
        <f>VLOOKUP(Table3[[#This Row],[Shop Name]],seller!A:A,1,0)</f>
        <v>ASG Dream Fashion</v>
      </c>
    </row>
    <row r="657" spans="1:13" ht="32" x14ac:dyDescent="0.2">
      <c r="A657" s="2">
        <v>657</v>
      </c>
      <c r="B657" s="2">
        <v>18</v>
      </c>
      <c r="C657" s="2" t="s">
        <v>46</v>
      </c>
      <c r="D657" s="2" t="s">
        <v>1028</v>
      </c>
      <c r="E657" s="2" t="s">
        <v>817</v>
      </c>
      <c r="F657" s="2" t="s">
        <v>992</v>
      </c>
      <c r="G657" s="2" t="s">
        <v>54</v>
      </c>
      <c r="H657" s="23">
        <v>305</v>
      </c>
      <c r="I657" s="6">
        <v>605</v>
      </c>
      <c r="J657" s="1" t="s">
        <v>127</v>
      </c>
      <c r="K657" s="6">
        <v>0</v>
      </c>
      <c r="M657" s="70" t="str">
        <f>VLOOKUP(Table3[[#This Row],[Shop Name]],seller!A:A,1,0)</f>
        <v>ASG Dream Fashion</v>
      </c>
    </row>
    <row r="658" spans="1:13" x14ac:dyDescent="0.2">
      <c r="A658" s="2">
        <v>658</v>
      </c>
      <c r="B658" s="2">
        <v>21</v>
      </c>
      <c r="C658" s="2" t="s">
        <v>53</v>
      </c>
      <c r="D658" s="2" t="s">
        <v>1029</v>
      </c>
      <c r="E658" s="2" t="s">
        <v>249</v>
      </c>
      <c r="F658" s="2" t="s">
        <v>992</v>
      </c>
      <c r="G658" s="2" t="s">
        <v>48</v>
      </c>
      <c r="H658" s="23">
        <v>640</v>
      </c>
      <c r="I658" s="6">
        <v>960</v>
      </c>
      <c r="J658" s="1" t="s">
        <v>127</v>
      </c>
      <c r="K658" s="6">
        <v>0</v>
      </c>
      <c r="M658" s="70" t="str">
        <f>VLOOKUP(Table3[[#This Row],[Shop Name]],seller!A:A,1,0)</f>
        <v>ASG Dream Fashion</v>
      </c>
    </row>
    <row r="659" spans="1:13" ht="32" x14ac:dyDescent="0.2">
      <c r="A659" s="2">
        <v>659</v>
      </c>
      <c r="B659" s="2">
        <v>25</v>
      </c>
      <c r="C659" s="2" t="s">
        <v>46</v>
      </c>
      <c r="D659" s="2" t="s">
        <v>1030</v>
      </c>
      <c r="E659" s="2" t="s">
        <v>7</v>
      </c>
      <c r="F659" s="2" t="s">
        <v>992</v>
      </c>
      <c r="G659" s="2" t="s">
        <v>56</v>
      </c>
      <c r="H659" s="23">
        <v>410</v>
      </c>
      <c r="I659" s="6">
        <v>710</v>
      </c>
      <c r="J659" s="1" t="s">
        <v>127</v>
      </c>
      <c r="K659" s="6">
        <v>0</v>
      </c>
      <c r="M659" s="70" t="str">
        <f>VLOOKUP(Table3[[#This Row],[Shop Name]],seller!A:A,1,0)</f>
        <v>ASG Dream Fashion</v>
      </c>
    </row>
    <row r="660" spans="1:13" ht="32" x14ac:dyDescent="0.2">
      <c r="A660" s="2">
        <v>660</v>
      </c>
      <c r="B660" s="2">
        <v>19</v>
      </c>
      <c r="C660" s="2" t="s">
        <v>46</v>
      </c>
      <c r="D660" s="2" t="s">
        <v>1032</v>
      </c>
      <c r="E660" s="2" t="s">
        <v>817</v>
      </c>
      <c r="F660" s="2" t="s">
        <v>992</v>
      </c>
      <c r="G660" s="2" t="s">
        <v>54</v>
      </c>
      <c r="H660" s="23">
        <v>470</v>
      </c>
      <c r="I660" s="6">
        <v>800</v>
      </c>
      <c r="J660" s="1" t="s">
        <v>127</v>
      </c>
      <c r="K660" s="6">
        <v>0</v>
      </c>
      <c r="M660" s="70" t="str">
        <f>VLOOKUP(Table3[[#This Row],[Shop Name]],seller!A:A,1,0)</f>
        <v>ASG Dream Fashion</v>
      </c>
    </row>
    <row r="661" spans="1:13" x14ac:dyDescent="0.2">
      <c r="A661" s="2">
        <v>661</v>
      </c>
      <c r="B661" s="2">
        <v>20</v>
      </c>
      <c r="C661" s="2" t="s">
        <v>43</v>
      </c>
      <c r="D661" s="2" t="s">
        <v>1033</v>
      </c>
      <c r="E661" s="2" t="s">
        <v>817</v>
      </c>
      <c r="F661" s="2" t="s">
        <v>992</v>
      </c>
      <c r="G661" s="2" t="s">
        <v>56</v>
      </c>
      <c r="H661" s="23">
        <v>590</v>
      </c>
      <c r="I661" s="6">
        <v>900</v>
      </c>
      <c r="J661" s="1" t="s">
        <v>127</v>
      </c>
      <c r="K661" s="6">
        <v>0</v>
      </c>
      <c r="M661" s="70" t="str">
        <f>VLOOKUP(Table3[[#This Row],[Shop Name]],seller!A:A,1,0)</f>
        <v>ASG Dream Fashion</v>
      </c>
    </row>
    <row r="662" spans="1:13" ht="32" x14ac:dyDescent="0.2">
      <c r="A662" s="2">
        <v>662</v>
      </c>
      <c r="B662" s="2">
        <v>15</v>
      </c>
      <c r="C662" s="2" t="s">
        <v>46</v>
      </c>
      <c r="D662" s="2" t="s">
        <v>1036</v>
      </c>
      <c r="E662" s="2" t="s">
        <v>1034</v>
      </c>
      <c r="F662" s="2" t="s">
        <v>992</v>
      </c>
      <c r="G662" s="2" t="s">
        <v>48</v>
      </c>
      <c r="H662" s="23">
        <v>390</v>
      </c>
      <c r="I662" s="6">
        <v>700</v>
      </c>
      <c r="J662" s="1" t="s">
        <v>127</v>
      </c>
      <c r="K662" s="6">
        <v>0</v>
      </c>
      <c r="M662" s="70" t="str">
        <f>VLOOKUP(Table3[[#This Row],[Shop Name]],seller!A:A,1,0)</f>
        <v>ASG Dream Fashion</v>
      </c>
    </row>
    <row r="663" spans="1:13" ht="32" x14ac:dyDescent="0.2">
      <c r="A663" s="2">
        <v>663</v>
      </c>
      <c r="B663" s="2">
        <v>15</v>
      </c>
      <c r="C663" s="2" t="s">
        <v>46</v>
      </c>
      <c r="D663" s="2" t="s">
        <v>1035</v>
      </c>
      <c r="E663" s="2" t="s">
        <v>1034</v>
      </c>
      <c r="F663" s="2" t="s">
        <v>992</v>
      </c>
      <c r="G663" s="2" t="s">
        <v>48</v>
      </c>
      <c r="H663" s="23">
        <v>390</v>
      </c>
      <c r="I663" s="6">
        <v>700</v>
      </c>
      <c r="J663" s="1" t="s">
        <v>127</v>
      </c>
      <c r="K663" s="6">
        <v>0</v>
      </c>
      <c r="M663" s="70" t="str">
        <f>VLOOKUP(Table3[[#This Row],[Shop Name]],seller!A:A,1,0)</f>
        <v>ASG Dream Fashion</v>
      </c>
    </row>
    <row r="664" spans="1:13" ht="32" x14ac:dyDescent="0.2">
      <c r="A664" s="2">
        <v>664</v>
      </c>
      <c r="B664" s="2">
        <v>15</v>
      </c>
      <c r="C664" s="2" t="s">
        <v>46</v>
      </c>
      <c r="D664" s="2" t="s">
        <v>1037</v>
      </c>
      <c r="E664" s="2" t="s">
        <v>1034</v>
      </c>
      <c r="F664" s="2" t="s">
        <v>992</v>
      </c>
      <c r="G664" s="2" t="s">
        <v>48</v>
      </c>
      <c r="H664" s="23">
        <v>390</v>
      </c>
      <c r="I664" s="6">
        <v>700</v>
      </c>
      <c r="J664" s="1" t="s">
        <v>127</v>
      </c>
      <c r="K664" s="6">
        <v>0</v>
      </c>
      <c r="M664" s="70" t="str">
        <f>VLOOKUP(Table3[[#This Row],[Shop Name]],seller!A:A,1,0)</f>
        <v>ASG Dream Fashion</v>
      </c>
    </row>
    <row r="665" spans="1:13" ht="32" x14ac:dyDescent="0.2">
      <c r="A665" s="2">
        <v>665</v>
      </c>
      <c r="B665" s="2">
        <v>15</v>
      </c>
      <c r="C665" s="2" t="s">
        <v>46</v>
      </c>
      <c r="D665" s="2" t="s">
        <v>1038</v>
      </c>
      <c r="E665" s="2" t="s">
        <v>817</v>
      </c>
      <c r="F665" s="2" t="s">
        <v>992</v>
      </c>
      <c r="G665" s="2" t="s">
        <v>54</v>
      </c>
      <c r="H665" s="23">
        <v>390</v>
      </c>
      <c r="I665" s="6">
        <v>700</v>
      </c>
      <c r="J665" s="1" t="s">
        <v>127</v>
      </c>
      <c r="K665" s="6">
        <v>0</v>
      </c>
      <c r="M665" s="70" t="str">
        <f>VLOOKUP(Table3[[#This Row],[Shop Name]],seller!A:A,1,0)</f>
        <v>ASG Dream Fashion</v>
      </c>
    </row>
    <row r="666" spans="1:13" ht="32" x14ac:dyDescent="0.2">
      <c r="A666" s="2">
        <v>666</v>
      </c>
      <c r="B666" s="2">
        <v>15</v>
      </c>
      <c r="C666" s="2" t="s">
        <v>46</v>
      </c>
      <c r="D666" s="2" t="s">
        <v>1039</v>
      </c>
      <c r="E666" s="2" t="s">
        <v>817</v>
      </c>
      <c r="F666" s="2" t="s">
        <v>992</v>
      </c>
      <c r="G666" s="2" t="s">
        <v>285</v>
      </c>
      <c r="H666" s="23">
        <v>390</v>
      </c>
      <c r="I666" s="6">
        <v>700</v>
      </c>
      <c r="J666" s="1" t="s">
        <v>127</v>
      </c>
      <c r="K666" s="6">
        <v>0</v>
      </c>
      <c r="M666" s="70" t="str">
        <f>VLOOKUP(Table3[[#This Row],[Shop Name]],seller!A:A,1,0)</f>
        <v>ASG Dream Fashion</v>
      </c>
    </row>
    <row r="667" spans="1:13" ht="32" x14ac:dyDescent="0.2">
      <c r="A667" s="2">
        <v>667</v>
      </c>
      <c r="B667" s="2">
        <v>17</v>
      </c>
      <c r="C667" s="2" t="s">
        <v>46</v>
      </c>
      <c r="D667" s="2" t="s">
        <v>1040</v>
      </c>
      <c r="E667" s="2" t="s">
        <v>642</v>
      </c>
      <c r="F667" s="2" t="s">
        <v>992</v>
      </c>
      <c r="G667" s="2" t="s">
        <v>56</v>
      </c>
      <c r="H667" s="23">
        <v>680</v>
      </c>
      <c r="I667" s="6">
        <v>1100</v>
      </c>
      <c r="J667" s="1" t="s">
        <v>127</v>
      </c>
      <c r="K667" s="6">
        <v>0</v>
      </c>
      <c r="M667" s="70" t="str">
        <f>VLOOKUP(Table3[[#This Row],[Shop Name]],seller!A:A,1,0)</f>
        <v>ASG Dream Fashion</v>
      </c>
    </row>
    <row r="668" spans="1:13" ht="32" x14ac:dyDescent="0.2">
      <c r="A668" s="2">
        <v>668</v>
      </c>
      <c r="B668" s="2">
        <v>23</v>
      </c>
      <c r="C668" s="2" t="s">
        <v>46</v>
      </c>
      <c r="D668" s="2" t="s">
        <v>1041</v>
      </c>
      <c r="E668" s="2" t="s">
        <v>642</v>
      </c>
      <c r="F668" s="2" t="s">
        <v>992</v>
      </c>
      <c r="G668" s="2" t="s">
        <v>56</v>
      </c>
      <c r="H668" s="23">
        <v>540</v>
      </c>
      <c r="I668" s="6">
        <v>1000</v>
      </c>
      <c r="J668" s="1" t="s">
        <v>127</v>
      </c>
      <c r="K668" s="6">
        <v>0</v>
      </c>
      <c r="M668" s="70" t="str">
        <f>VLOOKUP(Table3[[#This Row],[Shop Name]],seller!A:A,1,0)</f>
        <v>ASG Dream Fashion</v>
      </c>
    </row>
    <row r="669" spans="1:13" ht="32" x14ac:dyDescent="0.2">
      <c r="A669" s="2">
        <v>669</v>
      </c>
      <c r="B669" s="2">
        <v>10</v>
      </c>
      <c r="C669" s="2" t="s">
        <v>634</v>
      </c>
      <c r="D669" s="2" t="s">
        <v>1042</v>
      </c>
      <c r="E669" s="2" t="s">
        <v>378</v>
      </c>
      <c r="F669" s="2" t="s">
        <v>992</v>
      </c>
      <c r="G669" s="2" t="s">
        <v>56</v>
      </c>
      <c r="H669" s="23">
        <v>1260</v>
      </c>
      <c r="I669" s="6">
        <v>1560</v>
      </c>
      <c r="J669" s="1" t="s">
        <v>127</v>
      </c>
      <c r="K669" s="6">
        <v>0</v>
      </c>
      <c r="M669" s="70" t="str">
        <f>VLOOKUP(Table3[[#This Row],[Shop Name]],seller!A:A,1,0)</f>
        <v>ASG Dream Fashion</v>
      </c>
    </row>
    <row r="670" spans="1:13" ht="32" x14ac:dyDescent="0.2">
      <c r="A670" s="2">
        <v>670</v>
      </c>
      <c r="B670" s="2">
        <v>24</v>
      </c>
      <c r="C670" s="2" t="s">
        <v>46</v>
      </c>
      <c r="D670" s="2" t="s">
        <v>1043</v>
      </c>
      <c r="E670" s="2" t="s">
        <v>817</v>
      </c>
      <c r="F670" s="2" t="s">
        <v>992</v>
      </c>
      <c r="G670" s="2" t="s">
        <v>56</v>
      </c>
      <c r="H670" s="23">
        <v>430</v>
      </c>
      <c r="I670" s="6">
        <v>750</v>
      </c>
      <c r="J670" s="1" t="s">
        <v>127</v>
      </c>
      <c r="K670" s="6">
        <v>0</v>
      </c>
      <c r="M670" s="70" t="str">
        <f>VLOOKUP(Table3[[#This Row],[Shop Name]],seller!A:A,1,0)</f>
        <v>ASG Dream Fashion</v>
      </c>
    </row>
    <row r="671" spans="1:13" ht="32" x14ac:dyDescent="0.2">
      <c r="A671" s="2">
        <v>671</v>
      </c>
      <c r="B671" s="2">
        <v>24</v>
      </c>
      <c r="C671" s="2" t="s">
        <v>46</v>
      </c>
      <c r="D671" s="2" t="s">
        <v>1044</v>
      </c>
      <c r="E671" s="2" t="s">
        <v>817</v>
      </c>
      <c r="F671" s="2" t="s">
        <v>992</v>
      </c>
      <c r="G671" s="2" t="s">
        <v>54</v>
      </c>
      <c r="H671" s="23">
        <v>430</v>
      </c>
      <c r="I671" s="6">
        <v>750</v>
      </c>
      <c r="J671" s="1" t="s">
        <v>127</v>
      </c>
      <c r="K671" s="6">
        <v>0</v>
      </c>
      <c r="M671" s="70" t="str">
        <f>VLOOKUP(Table3[[#This Row],[Shop Name]],seller!A:A,1,0)</f>
        <v>ASG Dream Fashion</v>
      </c>
    </row>
    <row r="672" spans="1:13" ht="32" x14ac:dyDescent="0.2">
      <c r="A672" s="2">
        <v>672</v>
      </c>
      <c r="B672" s="2" t="s">
        <v>1058</v>
      </c>
      <c r="C672" s="2" t="s">
        <v>46</v>
      </c>
      <c r="D672" s="2" t="s">
        <v>1046</v>
      </c>
      <c r="E672" s="2" t="s">
        <v>817</v>
      </c>
      <c r="F672" s="2" t="s">
        <v>75</v>
      </c>
      <c r="G672" s="2" t="s">
        <v>347</v>
      </c>
      <c r="H672" s="23">
        <v>735</v>
      </c>
      <c r="I672" s="6">
        <v>1050</v>
      </c>
      <c r="J672" s="1" t="s">
        <v>127</v>
      </c>
      <c r="K672" s="6">
        <v>0</v>
      </c>
      <c r="M672" s="70" t="str">
        <f>VLOOKUP(Table3[[#This Row],[Shop Name]],seller!A:A,1,0)</f>
        <v>Rudra Fashion</v>
      </c>
    </row>
    <row r="673" spans="1:13" ht="32" x14ac:dyDescent="0.2">
      <c r="A673" s="2">
        <v>673</v>
      </c>
      <c r="B673" s="2">
        <v>19</v>
      </c>
      <c r="C673" s="2" t="s">
        <v>46</v>
      </c>
      <c r="D673" s="2" t="s">
        <v>1046</v>
      </c>
      <c r="E673" s="2" t="s">
        <v>817</v>
      </c>
      <c r="F673" s="2" t="s">
        <v>75</v>
      </c>
      <c r="G673" s="2" t="s">
        <v>684</v>
      </c>
      <c r="H673" s="23">
        <v>735</v>
      </c>
      <c r="I673" s="6">
        <v>1050</v>
      </c>
      <c r="J673" s="1" t="s">
        <v>127</v>
      </c>
      <c r="K673" s="6">
        <v>0</v>
      </c>
      <c r="M673" s="70" t="str">
        <f>VLOOKUP(Table3[[#This Row],[Shop Name]],seller!A:A,1,0)</f>
        <v>Rudra Fashion</v>
      </c>
    </row>
    <row r="674" spans="1:13" ht="32" x14ac:dyDescent="0.2">
      <c r="A674" s="2">
        <v>674</v>
      </c>
      <c r="B674" s="2">
        <v>20</v>
      </c>
      <c r="C674" s="2" t="s">
        <v>46</v>
      </c>
      <c r="D674" s="2" t="s">
        <v>1047</v>
      </c>
      <c r="E674" s="2" t="s">
        <v>817</v>
      </c>
      <c r="F674" s="2" t="s">
        <v>75</v>
      </c>
      <c r="G674" s="2" t="s">
        <v>684</v>
      </c>
      <c r="H674" s="23">
        <v>545</v>
      </c>
      <c r="I674" s="6">
        <v>900</v>
      </c>
      <c r="J674" s="1" t="s">
        <v>127</v>
      </c>
      <c r="K674" s="6">
        <v>0</v>
      </c>
      <c r="M674" s="70" t="str">
        <f>VLOOKUP(Table3[[#This Row],[Shop Name]],seller!A:A,1,0)</f>
        <v>Rudra Fashion</v>
      </c>
    </row>
    <row r="675" spans="1:13" ht="32" x14ac:dyDescent="0.2">
      <c r="A675" s="2">
        <v>675</v>
      </c>
      <c r="B675" s="2">
        <v>20</v>
      </c>
      <c r="C675" s="2" t="s">
        <v>46</v>
      </c>
      <c r="D675" s="2" t="s">
        <v>1047</v>
      </c>
      <c r="E675" s="2" t="s">
        <v>817</v>
      </c>
      <c r="F675" s="2" t="s">
        <v>75</v>
      </c>
      <c r="G675" s="2" t="s">
        <v>347</v>
      </c>
      <c r="H675" s="23">
        <v>545</v>
      </c>
      <c r="I675" s="6">
        <v>900</v>
      </c>
      <c r="J675" s="1" t="s">
        <v>127</v>
      </c>
      <c r="K675" s="6">
        <v>0</v>
      </c>
      <c r="M675" s="70" t="str">
        <f>VLOOKUP(Table3[[#This Row],[Shop Name]],seller!A:A,1,0)</f>
        <v>Rudra Fashion</v>
      </c>
    </row>
    <row r="676" spans="1:13" ht="32" x14ac:dyDescent="0.2">
      <c r="A676" s="2">
        <v>676</v>
      </c>
      <c r="B676" s="2">
        <v>20</v>
      </c>
      <c r="C676" s="2" t="s">
        <v>46</v>
      </c>
      <c r="D676" s="2" t="s">
        <v>1047</v>
      </c>
      <c r="E676" s="2" t="s">
        <v>817</v>
      </c>
      <c r="F676" s="2" t="s">
        <v>75</v>
      </c>
      <c r="G676" s="2" t="s">
        <v>285</v>
      </c>
      <c r="H676" s="23">
        <v>545</v>
      </c>
      <c r="I676" s="6">
        <v>900</v>
      </c>
      <c r="J676" s="1" t="s">
        <v>127</v>
      </c>
      <c r="K676" s="6">
        <v>0</v>
      </c>
      <c r="M676" s="70" t="str">
        <f>VLOOKUP(Table3[[#This Row],[Shop Name]],seller!A:A,1,0)</f>
        <v>Rudra Fashion</v>
      </c>
    </row>
    <row r="677" spans="1:13" ht="32" x14ac:dyDescent="0.2">
      <c r="A677" s="2">
        <v>677</v>
      </c>
      <c r="B677" s="2">
        <v>21</v>
      </c>
      <c r="C677" s="2" t="s">
        <v>46</v>
      </c>
      <c r="D677" s="2" t="s">
        <v>1048</v>
      </c>
      <c r="E677" s="2" t="s">
        <v>817</v>
      </c>
      <c r="F677" s="2" t="s">
        <v>75</v>
      </c>
      <c r="G677" s="2" t="s">
        <v>684</v>
      </c>
      <c r="H677" s="23">
        <v>555</v>
      </c>
      <c r="I677" s="6">
        <v>900</v>
      </c>
      <c r="J677" s="1" t="s">
        <v>127</v>
      </c>
      <c r="K677" s="6">
        <v>0</v>
      </c>
      <c r="M677" s="70" t="str">
        <f>VLOOKUP(Table3[[#This Row],[Shop Name]],seller!A:A,1,0)</f>
        <v>Rudra Fashion</v>
      </c>
    </row>
    <row r="678" spans="1:13" ht="32" x14ac:dyDescent="0.2">
      <c r="A678" s="2">
        <v>678</v>
      </c>
      <c r="B678" s="2">
        <v>21</v>
      </c>
      <c r="C678" s="2" t="s">
        <v>46</v>
      </c>
      <c r="D678" s="2" t="s">
        <v>1048</v>
      </c>
      <c r="E678" s="2" t="s">
        <v>817</v>
      </c>
      <c r="F678" s="2" t="s">
        <v>75</v>
      </c>
      <c r="G678" s="2" t="s">
        <v>347</v>
      </c>
      <c r="H678" s="23">
        <v>555</v>
      </c>
      <c r="I678" s="6">
        <v>900</v>
      </c>
      <c r="J678" s="1" t="s">
        <v>127</v>
      </c>
      <c r="K678" s="6">
        <v>0</v>
      </c>
      <c r="M678" s="70" t="str">
        <f>VLOOKUP(Table3[[#This Row],[Shop Name]],seller!A:A,1,0)</f>
        <v>Rudra Fashion</v>
      </c>
    </row>
    <row r="679" spans="1:13" ht="32" x14ac:dyDescent="0.2">
      <c r="A679" s="2">
        <v>679</v>
      </c>
      <c r="B679" s="2">
        <v>21</v>
      </c>
      <c r="C679" s="2" t="s">
        <v>46</v>
      </c>
      <c r="D679" s="2" t="s">
        <v>1049</v>
      </c>
      <c r="E679" s="2" t="s">
        <v>817</v>
      </c>
      <c r="F679" s="2" t="s">
        <v>75</v>
      </c>
      <c r="G679" s="2" t="s">
        <v>56</v>
      </c>
      <c r="H679" s="23">
        <v>555</v>
      </c>
      <c r="I679" s="6">
        <v>900</v>
      </c>
      <c r="J679" s="1" t="s">
        <v>127</v>
      </c>
      <c r="K679" s="6">
        <v>0</v>
      </c>
      <c r="M679" s="70" t="str">
        <f>VLOOKUP(Table3[[#This Row],[Shop Name]],seller!A:A,1,0)</f>
        <v>Rudra Fashion</v>
      </c>
    </row>
    <row r="680" spans="1:13" ht="32" x14ac:dyDescent="0.2">
      <c r="A680" s="2">
        <v>680</v>
      </c>
      <c r="B680" s="2">
        <v>6</v>
      </c>
      <c r="C680" s="2" t="s">
        <v>46</v>
      </c>
      <c r="D680" s="2" t="s">
        <v>1050</v>
      </c>
      <c r="E680" s="2" t="s">
        <v>817</v>
      </c>
      <c r="F680" s="2" t="s">
        <v>75</v>
      </c>
      <c r="G680" s="2" t="s">
        <v>56</v>
      </c>
      <c r="H680" s="23">
        <v>645</v>
      </c>
      <c r="I680" s="6">
        <v>1000</v>
      </c>
      <c r="J680" s="1" t="s">
        <v>127</v>
      </c>
      <c r="K680" s="6">
        <v>0</v>
      </c>
      <c r="M680" s="70" t="str">
        <f>VLOOKUP(Table3[[#This Row],[Shop Name]],seller!A:A,1,0)</f>
        <v>Rudra Fashion</v>
      </c>
    </row>
    <row r="681" spans="1:13" ht="32" x14ac:dyDescent="0.2">
      <c r="A681" s="2">
        <v>681</v>
      </c>
      <c r="B681" s="2">
        <v>6</v>
      </c>
      <c r="C681" s="2" t="s">
        <v>46</v>
      </c>
      <c r="D681" s="2" t="s">
        <v>1051</v>
      </c>
      <c r="E681" s="2" t="s">
        <v>817</v>
      </c>
      <c r="F681" s="2" t="s">
        <v>75</v>
      </c>
      <c r="G681" s="2" t="s">
        <v>54</v>
      </c>
      <c r="H681" s="23">
        <v>645</v>
      </c>
      <c r="I681" s="6">
        <v>1000</v>
      </c>
      <c r="J681" s="1" t="s">
        <v>127</v>
      </c>
      <c r="K681" s="6">
        <v>0</v>
      </c>
      <c r="M681" s="70" t="str">
        <f>VLOOKUP(Table3[[#This Row],[Shop Name]],seller!A:A,1,0)</f>
        <v>Rudra Fashion</v>
      </c>
    </row>
    <row r="682" spans="1:13" ht="32" x14ac:dyDescent="0.2">
      <c r="A682" s="2">
        <v>682</v>
      </c>
      <c r="B682" s="2">
        <v>4</v>
      </c>
      <c r="C682" s="2" t="s">
        <v>46</v>
      </c>
      <c r="D682" s="2" t="s">
        <v>1052</v>
      </c>
      <c r="E682" s="2" t="s">
        <v>614</v>
      </c>
      <c r="F682" s="2" t="s">
        <v>75</v>
      </c>
      <c r="G682" s="2" t="s">
        <v>49</v>
      </c>
      <c r="H682" s="23">
        <v>525</v>
      </c>
      <c r="I682" s="6">
        <v>850</v>
      </c>
      <c r="J682" s="1" t="s">
        <v>127</v>
      </c>
      <c r="K682" s="6">
        <v>0</v>
      </c>
      <c r="M682" s="70" t="str">
        <f>VLOOKUP(Table3[[#This Row],[Shop Name]],seller!A:A,1,0)</f>
        <v>Rudra Fashion</v>
      </c>
    </row>
    <row r="683" spans="1:13" ht="32" x14ac:dyDescent="0.2">
      <c r="A683" s="2">
        <v>683</v>
      </c>
      <c r="B683" s="2">
        <v>4</v>
      </c>
      <c r="C683" s="2" t="s">
        <v>46</v>
      </c>
      <c r="D683" s="2" t="s">
        <v>1053</v>
      </c>
      <c r="E683" s="2" t="s">
        <v>614</v>
      </c>
      <c r="F683" s="2" t="s">
        <v>75</v>
      </c>
      <c r="G683" s="2" t="s">
        <v>44</v>
      </c>
      <c r="H683" s="23">
        <v>525</v>
      </c>
      <c r="I683" s="6">
        <v>850</v>
      </c>
      <c r="J683" s="1" t="s">
        <v>127</v>
      </c>
      <c r="K683" s="6">
        <v>0</v>
      </c>
      <c r="M683" s="70" t="str">
        <f>VLOOKUP(Table3[[#This Row],[Shop Name]],seller!A:A,1,0)</f>
        <v>Rudra Fashion</v>
      </c>
    </row>
    <row r="684" spans="1:13" ht="32" x14ac:dyDescent="0.2">
      <c r="A684" s="2">
        <v>684</v>
      </c>
      <c r="B684" s="2">
        <v>5</v>
      </c>
      <c r="C684" s="2" t="s">
        <v>46</v>
      </c>
      <c r="D684" s="2" t="s">
        <v>1054</v>
      </c>
      <c r="E684" s="2" t="s">
        <v>378</v>
      </c>
      <c r="F684" s="2" t="s">
        <v>75</v>
      </c>
      <c r="G684" s="2" t="s">
        <v>54</v>
      </c>
      <c r="H684" s="23">
        <v>575</v>
      </c>
      <c r="I684" s="6">
        <v>900</v>
      </c>
      <c r="J684" s="1" t="s">
        <v>127</v>
      </c>
      <c r="K684" s="6">
        <v>0</v>
      </c>
      <c r="M684" s="70" t="str">
        <f>VLOOKUP(Table3[[#This Row],[Shop Name]],seller!A:A,1,0)</f>
        <v>Rudra Fashion</v>
      </c>
    </row>
    <row r="685" spans="1:13" ht="32" x14ac:dyDescent="0.2">
      <c r="A685" s="2">
        <v>685</v>
      </c>
      <c r="B685" s="2">
        <v>5</v>
      </c>
      <c r="C685" s="2" t="s">
        <v>46</v>
      </c>
      <c r="D685" s="2" t="s">
        <v>1054</v>
      </c>
      <c r="E685" s="2" t="s">
        <v>378</v>
      </c>
      <c r="F685" s="2" t="s">
        <v>75</v>
      </c>
      <c r="G685" s="2" t="s">
        <v>56</v>
      </c>
      <c r="H685" s="23">
        <v>575</v>
      </c>
      <c r="I685" s="6">
        <v>900</v>
      </c>
      <c r="J685" s="1" t="s">
        <v>127</v>
      </c>
      <c r="K685" s="6">
        <v>0</v>
      </c>
      <c r="M685" s="70" t="str">
        <f>VLOOKUP(Table3[[#This Row],[Shop Name]],seller!A:A,1,0)</f>
        <v>Rudra Fashion</v>
      </c>
    </row>
    <row r="686" spans="1:13" ht="32" x14ac:dyDescent="0.2">
      <c r="A686" s="2">
        <v>686</v>
      </c>
      <c r="B686" s="2">
        <v>5</v>
      </c>
      <c r="C686" s="2" t="s">
        <v>46</v>
      </c>
      <c r="D686" s="2" t="s">
        <v>1055</v>
      </c>
      <c r="E686" s="2" t="s">
        <v>378</v>
      </c>
      <c r="F686" s="2" t="s">
        <v>75</v>
      </c>
      <c r="G686" s="2" t="s">
        <v>347</v>
      </c>
      <c r="H686" s="23">
        <v>575</v>
      </c>
      <c r="I686" s="6">
        <v>900</v>
      </c>
      <c r="J686" s="1" t="s">
        <v>127</v>
      </c>
      <c r="K686" s="6">
        <v>0</v>
      </c>
      <c r="M686" s="70" t="str">
        <f>VLOOKUP(Table3[[#This Row],[Shop Name]],seller!A:A,1,0)</f>
        <v>Rudra Fashion</v>
      </c>
    </row>
    <row r="687" spans="1:13" ht="32" x14ac:dyDescent="0.2">
      <c r="A687" s="2">
        <v>687</v>
      </c>
      <c r="B687" s="2">
        <v>12</v>
      </c>
      <c r="C687" s="2" t="s">
        <v>634</v>
      </c>
      <c r="D687" s="2" t="s">
        <v>1056</v>
      </c>
      <c r="E687" s="2" t="s">
        <v>642</v>
      </c>
      <c r="F687" s="2" t="s">
        <v>75</v>
      </c>
      <c r="G687" s="2" t="s">
        <v>48</v>
      </c>
      <c r="H687" s="23">
        <v>1470</v>
      </c>
      <c r="I687" s="6">
        <v>1850</v>
      </c>
      <c r="J687" s="1" t="s">
        <v>127</v>
      </c>
      <c r="K687" s="6">
        <v>0</v>
      </c>
      <c r="M687" s="70" t="str">
        <f>VLOOKUP(Table3[[#This Row],[Shop Name]],seller!A:A,1,0)</f>
        <v>Rudra Fashion</v>
      </c>
    </row>
    <row r="688" spans="1:13" ht="32" x14ac:dyDescent="0.2">
      <c r="A688" s="2">
        <v>688</v>
      </c>
      <c r="B688" s="2">
        <v>17</v>
      </c>
      <c r="C688" s="2" t="s">
        <v>46</v>
      </c>
      <c r="D688" s="2" t="s">
        <v>1057</v>
      </c>
      <c r="E688" s="2" t="s">
        <v>378</v>
      </c>
      <c r="F688" s="2" t="s">
        <v>75</v>
      </c>
      <c r="G688" s="2" t="s">
        <v>285</v>
      </c>
      <c r="H688" s="23">
        <v>605</v>
      </c>
      <c r="I688" s="6">
        <v>950</v>
      </c>
      <c r="J688" s="1" t="s">
        <v>127</v>
      </c>
      <c r="K688" s="6">
        <v>0</v>
      </c>
      <c r="M688" s="70" t="str">
        <f>VLOOKUP(Table3[[#This Row],[Shop Name]],seller!A:A,1,0)</f>
        <v>Rudra Fashion</v>
      </c>
    </row>
    <row r="689" spans="1:13" ht="32" x14ac:dyDescent="0.2">
      <c r="A689" s="2">
        <v>689</v>
      </c>
      <c r="B689" s="2">
        <v>23</v>
      </c>
      <c r="C689" s="2" t="s">
        <v>46</v>
      </c>
      <c r="D689" s="2" t="s">
        <v>1059</v>
      </c>
      <c r="E689" s="2" t="s">
        <v>817</v>
      </c>
      <c r="F689" s="2" t="s">
        <v>75</v>
      </c>
      <c r="G689" s="2" t="s">
        <v>341</v>
      </c>
      <c r="H689" s="23">
        <v>715</v>
      </c>
      <c r="I689" s="6">
        <v>1050</v>
      </c>
      <c r="J689" s="1" t="s">
        <v>127</v>
      </c>
      <c r="K689" s="6">
        <v>0</v>
      </c>
      <c r="M689" s="70" t="str">
        <f>VLOOKUP(Table3[[#This Row],[Shop Name]],seller!A:A,1,0)</f>
        <v>Rudra Fashion</v>
      </c>
    </row>
    <row r="690" spans="1:13" ht="32" x14ac:dyDescent="0.2">
      <c r="A690" s="2">
        <v>690</v>
      </c>
      <c r="B690" s="2">
        <v>23</v>
      </c>
      <c r="C690" s="2" t="s">
        <v>46</v>
      </c>
      <c r="D690" s="2" t="s">
        <v>1059</v>
      </c>
      <c r="E690" s="2" t="s">
        <v>817</v>
      </c>
      <c r="F690" s="2" t="s">
        <v>75</v>
      </c>
      <c r="G690" s="2" t="s">
        <v>285</v>
      </c>
      <c r="H690" s="23">
        <v>715</v>
      </c>
      <c r="I690" s="6">
        <v>1050</v>
      </c>
      <c r="J690" s="1" t="s">
        <v>127</v>
      </c>
      <c r="K690" s="6">
        <v>0</v>
      </c>
      <c r="M690" s="70" t="str">
        <f>VLOOKUP(Table3[[#This Row],[Shop Name]],seller!A:A,1,0)</f>
        <v>Rudra Fashion</v>
      </c>
    </row>
    <row r="691" spans="1:13" ht="32" x14ac:dyDescent="0.2">
      <c r="A691" s="2">
        <v>691</v>
      </c>
      <c r="B691" s="2">
        <v>22</v>
      </c>
      <c r="C691" s="2" t="s">
        <v>46</v>
      </c>
      <c r="D691" s="2" t="s">
        <v>1060</v>
      </c>
      <c r="E691" s="2" t="s">
        <v>642</v>
      </c>
      <c r="F691" s="2" t="s">
        <v>75</v>
      </c>
      <c r="G691" s="2" t="s">
        <v>341</v>
      </c>
      <c r="H691" s="23">
        <v>750</v>
      </c>
      <c r="I691" s="6">
        <v>1100</v>
      </c>
      <c r="J691" s="1" t="s">
        <v>127</v>
      </c>
      <c r="K691" s="6">
        <v>0</v>
      </c>
      <c r="M691" s="70" t="str">
        <f>VLOOKUP(Table3[[#This Row],[Shop Name]],seller!A:A,1,0)</f>
        <v>Rudra Fashion</v>
      </c>
    </row>
    <row r="692" spans="1:13" ht="32" x14ac:dyDescent="0.2">
      <c r="A692" s="2">
        <v>692</v>
      </c>
      <c r="B692" s="2">
        <v>22</v>
      </c>
      <c r="C692" s="2" t="s">
        <v>46</v>
      </c>
      <c r="D692" s="2" t="s">
        <v>1060</v>
      </c>
      <c r="E692" s="2" t="s">
        <v>642</v>
      </c>
      <c r="F692" s="2" t="s">
        <v>75</v>
      </c>
      <c r="G692" s="2" t="s">
        <v>341</v>
      </c>
      <c r="H692" s="23">
        <v>750</v>
      </c>
      <c r="I692" s="6">
        <v>1100</v>
      </c>
      <c r="J692" s="1" t="s">
        <v>127</v>
      </c>
      <c r="K692" s="6">
        <v>0</v>
      </c>
      <c r="M692" s="70" t="str">
        <f>VLOOKUP(Table3[[#This Row],[Shop Name]],seller!A:A,1,0)</f>
        <v>Rudra Fashion</v>
      </c>
    </row>
    <row r="693" spans="1:13" ht="32" x14ac:dyDescent="0.2">
      <c r="A693" s="2">
        <v>693</v>
      </c>
      <c r="B693" s="2">
        <v>22</v>
      </c>
      <c r="C693" s="2" t="s">
        <v>46</v>
      </c>
      <c r="D693" s="2" t="s">
        <v>1060</v>
      </c>
      <c r="E693" s="2" t="s">
        <v>642</v>
      </c>
      <c r="F693" s="2" t="s">
        <v>75</v>
      </c>
      <c r="G693" s="2" t="s">
        <v>285</v>
      </c>
      <c r="H693" s="23">
        <v>750</v>
      </c>
      <c r="I693" s="6">
        <v>1100</v>
      </c>
      <c r="J693" s="1" t="s">
        <v>127</v>
      </c>
      <c r="K693" s="6">
        <v>0</v>
      </c>
      <c r="M693" s="70" t="str">
        <f>VLOOKUP(Table3[[#This Row],[Shop Name]],seller!A:A,1,0)</f>
        <v>Rudra Fashion</v>
      </c>
    </row>
    <row r="694" spans="1:13" ht="32" x14ac:dyDescent="0.2">
      <c r="A694" s="2">
        <v>694</v>
      </c>
      <c r="B694" s="2">
        <v>24</v>
      </c>
      <c r="C694" s="2" t="s">
        <v>46</v>
      </c>
      <c r="D694" s="2" t="s">
        <v>1064</v>
      </c>
      <c r="E694" s="2" t="s">
        <v>817</v>
      </c>
      <c r="F694" s="2" t="s">
        <v>75</v>
      </c>
      <c r="G694" s="2" t="s">
        <v>341</v>
      </c>
      <c r="H694" s="23">
        <v>715</v>
      </c>
      <c r="I694" s="6">
        <v>1050</v>
      </c>
      <c r="J694" s="1" t="s">
        <v>127</v>
      </c>
      <c r="K694" s="6">
        <v>0</v>
      </c>
      <c r="M694" s="70" t="str">
        <f>VLOOKUP(Table3[[#This Row],[Shop Name]],seller!A:A,1,0)</f>
        <v>Rudra Fashion</v>
      </c>
    </row>
    <row r="695" spans="1:13" ht="32" x14ac:dyDescent="0.2">
      <c r="A695" s="2">
        <v>695</v>
      </c>
      <c r="B695" s="2">
        <v>24</v>
      </c>
      <c r="C695" s="2" t="s">
        <v>46</v>
      </c>
      <c r="D695" s="2" t="s">
        <v>1061</v>
      </c>
      <c r="E695" s="2" t="s">
        <v>817</v>
      </c>
      <c r="F695" s="2" t="s">
        <v>75</v>
      </c>
      <c r="G695" s="2" t="s">
        <v>285</v>
      </c>
      <c r="H695" s="23">
        <v>715</v>
      </c>
      <c r="I695" s="6">
        <v>1050</v>
      </c>
      <c r="J695" s="1" t="s">
        <v>127</v>
      </c>
      <c r="K695" s="6">
        <v>0</v>
      </c>
      <c r="M695" s="70" t="str">
        <f>VLOOKUP(Table3[[#This Row],[Shop Name]],seller!A:A,1,0)</f>
        <v>Rudra Fashion</v>
      </c>
    </row>
    <row r="696" spans="1:13" ht="32" x14ac:dyDescent="0.2">
      <c r="A696" s="2">
        <v>696</v>
      </c>
      <c r="B696" s="2">
        <v>18</v>
      </c>
      <c r="C696" s="2" t="s">
        <v>46</v>
      </c>
      <c r="D696" s="2" t="s">
        <v>1063</v>
      </c>
      <c r="E696" s="2" t="s">
        <v>817</v>
      </c>
      <c r="F696" s="2" t="s">
        <v>75</v>
      </c>
      <c r="G696" s="2" t="s">
        <v>44</v>
      </c>
      <c r="H696" s="23">
        <v>495</v>
      </c>
      <c r="I696" s="6">
        <v>850</v>
      </c>
      <c r="J696" s="1" t="s">
        <v>127</v>
      </c>
      <c r="K696" s="6">
        <v>0</v>
      </c>
      <c r="M696" s="70" t="str">
        <f>VLOOKUP(Table3[[#This Row],[Shop Name]],seller!A:A,1,0)</f>
        <v>Rudra Fashion</v>
      </c>
    </row>
    <row r="697" spans="1:13" ht="32" x14ac:dyDescent="0.2">
      <c r="A697" s="2">
        <v>697</v>
      </c>
      <c r="B697" s="2">
        <v>13</v>
      </c>
      <c r="C697" s="2" t="s">
        <v>46</v>
      </c>
      <c r="D697" s="2" t="s">
        <v>1062</v>
      </c>
      <c r="E697" s="2" t="s">
        <v>817</v>
      </c>
      <c r="F697" s="2" t="s">
        <v>75</v>
      </c>
      <c r="G697" s="2" t="s">
        <v>49</v>
      </c>
      <c r="H697" s="23">
        <v>475</v>
      </c>
      <c r="I697" s="6">
        <v>750</v>
      </c>
      <c r="J697" s="1" t="s">
        <v>127</v>
      </c>
      <c r="K697" s="6">
        <v>0</v>
      </c>
      <c r="M697" s="70" t="str">
        <f>VLOOKUP(Table3[[#This Row],[Shop Name]],seller!A:A,1,0)</f>
        <v>Rudra Fashion</v>
      </c>
    </row>
    <row r="698" spans="1:13" ht="32" x14ac:dyDescent="0.2">
      <c r="A698" s="2">
        <v>698</v>
      </c>
      <c r="B698" s="2">
        <v>25</v>
      </c>
      <c r="C698" s="2" t="s">
        <v>46</v>
      </c>
      <c r="D698" s="2" t="s">
        <v>1065</v>
      </c>
      <c r="E698" s="2" t="s">
        <v>817</v>
      </c>
      <c r="F698" s="2" t="s">
        <v>75</v>
      </c>
      <c r="G698" s="2" t="s">
        <v>285</v>
      </c>
      <c r="H698" s="23">
        <v>575</v>
      </c>
      <c r="I698" s="6">
        <v>950</v>
      </c>
      <c r="J698" s="1" t="s">
        <v>127</v>
      </c>
      <c r="K698" s="6">
        <v>0</v>
      </c>
      <c r="M698" s="70" t="str">
        <f>VLOOKUP(Table3[[#This Row],[Shop Name]],seller!A:A,1,0)</f>
        <v>Rudra Fashion</v>
      </c>
    </row>
    <row r="699" spans="1:13" ht="32" x14ac:dyDescent="0.2">
      <c r="A699" s="2">
        <v>699</v>
      </c>
      <c r="B699" s="2">
        <v>25</v>
      </c>
      <c r="C699" s="2" t="s">
        <v>46</v>
      </c>
      <c r="D699" s="2" t="s">
        <v>1065</v>
      </c>
      <c r="E699" s="2" t="s">
        <v>817</v>
      </c>
      <c r="F699" s="2" t="s">
        <v>75</v>
      </c>
      <c r="G699" s="2" t="s">
        <v>341</v>
      </c>
      <c r="H699" s="23">
        <v>575</v>
      </c>
      <c r="I699" s="6">
        <v>950</v>
      </c>
      <c r="J699" s="1" t="s">
        <v>127</v>
      </c>
      <c r="K699" s="6">
        <v>0</v>
      </c>
      <c r="M699" s="70" t="str">
        <f>VLOOKUP(Table3[[#This Row],[Shop Name]],seller!A:A,1,0)</f>
        <v>Rudra Fashion</v>
      </c>
    </row>
    <row r="700" spans="1:13" ht="32" x14ac:dyDescent="0.2">
      <c r="A700" s="2">
        <v>700</v>
      </c>
      <c r="B700" s="2">
        <v>25</v>
      </c>
      <c r="C700" s="2" t="s">
        <v>46</v>
      </c>
      <c r="D700" s="2" t="s">
        <v>1065</v>
      </c>
      <c r="E700" s="2" t="s">
        <v>817</v>
      </c>
      <c r="F700" s="2" t="s">
        <v>75</v>
      </c>
      <c r="G700" s="2" t="s">
        <v>347</v>
      </c>
      <c r="H700" s="23">
        <v>575</v>
      </c>
      <c r="I700" s="6">
        <v>950</v>
      </c>
      <c r="J700" s="1" t="s">
        <v>127</v>
      </c>
      <c r="K700" s="6">
        <v>0</v>
      </c>
      <c r="M700" s="70" t="str">
        <f>VLOOKUP(Table3[[#This Row],[Shop Name]],seller!A:A,1,0)</f>
        <v>Rudra Fashion</v>
      </c>
    </row>
    <row r="701" spans="1:13" ht="32" x14ac:dyDescent="0.2">
      <c r="A701" s="2">
        <v>701</v>
      </c>
      <c r="B701" s="2">
        <v>16</v>
      </c>
      <c r="C701" s="2" t="s">
        <v>46</v>
      </c>
      <c r="D701" s="2" t="s">
        <v>1066</v>
      </c>
      <c r="E701" s="2" t="s">
        <v>817</v>
      </c>
      <c r="F701" s="2" t="s">
        <v>75</v>
      </c>
      <c r="G701" s="2" t="s">
        <v>347</v>
      </c>
      <c r="H701" s="23">
        <v>585</v>
      </c>
      <c r="I701" s="6">
        <v>950</v>
      </c>
      <c r="J701" s="1" t="s">
        <v>127</v>
      </c>
      <c r="K701" s="6">
        <v>0</v>
      </c>
      <c r="M701" s="70" t="str">
        <f>VLOOKUP(Table3[[#This Row],[Shop Name]],seller!A:A,1,0)</f>
        <v>Rudra Fashion</v>
      </c>
    </row>
    <row r="702" spans="1:13" ht="32" x14ac:dyDescent="0.2">
      <c r="A702" s="2">
        <v>702</v>
      </c>
      <c r="B702" s="2">
        <v>16</v>
      </c>
      <c r="C702" s="2" t="s">
        <v>46</v>
      </c>
      <c r="D702" s="2" t="s">
        <v>1066</v>
      </c>
      <c r="E702" s="2" t="s">
        <v>817</v>
      </c>
      <c r="F702" s="2" t="s">
        <v>75</v>
      </c>
      <c r="G702" s="2" t="s">
        <v>341</v>
      </c>
      <c r="H702" s="23">
        <v>585</v>
      </c>
      <c r="I702" s="6">
        <v>950</v>
      </c>
      <c r="J702" s="1" t="s">
        <v>127</v>
      </c>
      <c r="K702" s="6">
        <v>0</v>
      </c>
      <c r="M702" s="70" t="str">
        <f>VLOOKUP(Table3[[#This Row],[Shop Name]],seller!A:A,1,0)</f>
        <v>Rudra Fashion</v>
      </c>
    </row>
    <row r="703" spans="1:13" ht="32" x14ac:dyDescent="0.2">
      <c r="A703" s="2">
        <v>703</v>
      </c>
      <c r="B703" s="2">
        <v>16</v>
      </c>
      <c r="C703" s="2" t="s">
        <v>46</v>
      </c>
      <c r="D703" s="2" t="s">
        <v>1066</v>
      </c>
      <c r="E703" s="2" t="s">
        <v>817</v>
      </c>
      <c r="F703" s="2" t="s">
        <v>75</v>
      </c>
      <c r="G703" s="2" t="s">
        <v>285</v>
      </c>
      <c r="H703" s="23">
        <v>585</v>
      </c>
      <c r="I703" s="6">
        <v>950</v>
      </c>
      <c r="J703" s="1" t="s">
        <v>127</v>
      </c>
      <c r="K703" s="6">
        <v>0</v>
      </c>
      <c r="M703" s="70" t="str">
        <f>VLOOKUP(Table3[[#This Row],[Shop Name]],seller!A:A,1,0)</f>
        <v>Rudra Fashion</v>
      </c>
    </row>
    <row r="704" spans="1:13" ht="32" x14ac:dyDescent="0.2">
      <c r="A704" s="2">
        <v>704</v>
      </c>
      <c r="B704" s="2">
        <v>1</v>
      </c>
      <c r="C704" s="2" t="s">
        <v>46</v>
      </c>
      <c r="D704" s="2" t="s">
        <v>1067</v>
      </c>
      <c r="E704" s="22" t="s">
        <v>378</v>
      </c>
      <c r="F704" s="2" t="s">
        <v>75</v>
      </c>
      <c r="G704" s="2" t="s">
        <v>44</v>
      </c>
      <c r="H704" s="23">
        <v>535</v>
      </c>
      <c r="I704" s="6">
        <v>900</v>
      </c>
      <c r="J704" s="1" t="s">
        <v>127</v>
      </c>
      <c r="K704" s="6">
        <v>0</v>
      </c>
      <c r="M704" s="70" t="str">
        <f>VLOOKUP(Table3[[#This Row],[Shop Name]],seller!A:A,1,0)</f>
        <v>Rudra Fashion</v>
      </c>
    </row>
    <row r="705" spans="1:13" ht="32" x14ac:dyDescent="0.2">
      <c r="A705" s="2">
        <v>705</v>
      </c>
      <c r="B705" s="2">
        <v>1</v>
      </c>
      <c r="C705" s="2" t="s">
        <v>46</v>
      </c>
      <c r="D705" s="2" t="s">
        <v>1068</v>
      </c>
      <c r="E705" s="22" t="s">
        <v>378</v>
      </c>
      <c r="F705" s="2" t="s">
        <v>75</v>
      </c>
      <c r="G705" s="2" t="s">
        <v>44</v>
      </c>
      <c r="H705" s="23">
        <v>535</v>
      </c>
      <c r="I705" s="6">
        <v>900</v>
      </c>
      <c r="J705" s="1" t="s">
        <v>127</v>
      </c>
      <c r="K705" s="6">
        <v>0</v>
      </c>
      <c r="M705" s="70" t="str">
        <f>VLOOKUP(Table3[[#This Row],[Shop Name]],seller!A:A,1,0)</f>
        <v>Rudra Fashion</v>
      </c>
    </row>
    <row r="706" spans="1:13" ht="32" x14ac:dyDescent="0.2">
      <c r="A706" s="2">
        <v>706</v>
      </c>
      <c r="B706" s="2">
        <v>14</v>
      </c>
      <c r="C706" s="2" t="s">
        <v>46</v>
      </c>
      <c r="D706" s="2" t="s">
        <v>1069</v>
      </c>
      <c r="E706" s="2" t="s">
        <v>817</v>
      </c>
      <c r="F706" s="2" t="s">
        <v>75</v>
      </c>
      <c r="G706" s="2" t="s">
        <v>285</v>
      </c>
      <c r="H706" s="23">
        <v>685</v>
      </c>
      <c r="I706" s="6">
        <v>1050</v>
      </c>
      <c r="J706" s="1" t="s">
        <v>127</v>
      </c>
      <c r="K706" s="6">
        <v>0</v>
      </c>
      <c r="M706" s="70" t="str">
        <f>VLOOKUP(Table3[[#This Row],[Shop Name]],seller!A:A,1,0)</f>
        <v>Rudra Fashion</v>
      </c>
    </row>
    <row r="707" spans="1:13" ht="32" x14ac:dyDescent="0.2">
      <c r="A707" s="2">
        <v>707</v>
      </c>
      <c r="B707" s="2">
        <v>15</v>
      </c>
      <c r="C707" s="2" t="s">
        <v>46</v>
      </c>
      <c r="D707" s="2" t="s">
        <v>1070</v>
      </c>
      <c r="E707" s="2" t="s">
        <v>817</v>
      </c>
      <c r="F707" s="2" t="s">
        <v>75</v>
      </c>
      <c r="G707" s="2" t="s">
        <v>285</v>
      </c>
      <c r="H707" s="23">
        <v>665</v>
      </c>
      <c r="I707" s="6">
        <v>999</v>
      </c>
      <c r="J707" s="1" t="s">
        <v>127</v>
      </c>
      <c r="K707" s="6">
        <v>0</v>
      </c>
      <c r="M707" s="70" t="str">
        <f>VLOOKUP(Table3[[#This Row],[Shop Name]],seller!A:A,1,0)</f>
        <v>Rudra Fashion</v>
      </c>
    </row>
    <row r="708" spans="1:13" ht="32" x14ac:dyDescent="0.2">
      <c r="A708" s="2">
        <v>708</v>
      </c>
      <c r="B708" s="2">
        <v>8</v>
      </c>
      <c r="C708" s="2" t="s">
        <v>59</v>
      </c>
      <c r="D708" s="2" t="s">
        <v>1071</v>
      </c>
      <c r="E708" s="2" t="s">
        <v>614</v>
      </c>
      <c r="F708" s="2" t="s">
        <v>75</v>
      </c>
      <c r="G708" s="2" t="s">
        <v>49</v>
      </c>
      <c r="H708" s="23">
        <v>655</v>
      </c>
      <c r="I708" s="6">
        <v>950</v>
      </c>
      <c r="J708" s="1" t="s">
        <v>127</v>
      </c>
      <c r="K708" s="6">
        <v>0</v>
      </c>
      <c r="M708" s="70" t="str">
        <f>VLOOKUP(Table3[[#This Row],[Shop Name]],seller!A:A,1,0)</f>
        <v>Rudra Fashion</v>
      </c>
    </row>
    <row r="709" spans="1:13" ht="32" x14ac:dyDescent="0.2">
      <c r="A709" s="2">
        <v>709</v>
      </c>
      <c r="B709" s="2">
        <v>10</v>
      </c>
      <c r="C709" s="2" t="s">
        <v>59</v>
      </c>
      <c r="D709" s="2" t="s">
        <v>1072</v>
      </c>
      <c r="E709" s="2" t="s">
        <v>614</v>
      </c>
      <c r="F709" s="2" t="s">
        <v>75</v>
      </c>
      <c r="G709" s="2" t="s">
        <v>49</v>
      </c>
      <c r="H709" s="23">
        <v>635</v>
      </c>
      <c r="I709" s="6">
        <v>950</v>
      </c>
      <c r="J709" s="1" t="s">
        <v>127</v>
      </c>
      <c r="K709" s="6">
        <v>0</v>
      </c>
      <c r="M709" s="70" t="str">
        <f>VLOOKUP(Table3[[#This Row],[Shop Name]],seller!A:A,1,0)</f>
        <v>Rudra Fashion</v>
      </c>
    </row>
    <row r="710" spans="1:13" x14ac:dyDescent="0.2">
      <c r="A710" s="2">
        <v>710</v>
      </c>
      <c r="B710" s="2">
        <v>9</v>
      </c>
      <c r="C710" s="2" t="s">
        <v>59</v>
      </c>
      <c r="D710" s="2" t="s">
        <v>1073</v>
      </c>
      <c r="E710" s="2" t="s">
        <v>614</v>
      </c>
      <c r="F710" s="2" t="s">
        <v>75</v>
      </c>
      <c r="G710" s="2" t="s">
        <v>49</v>
      </c>
      <c r="H710" s="23">
        <v>615</v>
      </c>
      <c r="I710" s="6">
        <v>950</v>
      </c>
      <c r="J710" s="1" t="s">
        <v>127</v>
      </c>
      <c r="K710" s="6">
        <v>0</v>
      </c>
      <c r="M710" s="70" t="str">
        <f>VLOOKUP(Table3[[#This Row],[Shop Name]],seller!A:A,1,0)</f>
        <v>Rudra Fashion</v>
      </c>
    </row>
    <row r="711" spans="1:13" x14ac:dyDescent="0.2">
      <c r="A711" s="2">
        <v>711</v>
      </c>
      <c r="B711" s="2">
        <v>11</v>
      </c>
      <c r="C711" s="2" t="s">
        <v>280</v>
      </c>
      <c r="D711" s="2" t="s">
        <v>1074</v>
      </c>
      <c r="E711" s="2" t="s">
        <v>817</v>
      </c>
      <c r="F711" s="2" t="s">
        <v>75</v>
      </c>
      <c r="G711" s="2" t="s">
        <v>44</v>
      </c>
      <c r="H711" s="23">
        <v>780</v>
      </c>
      <c r="I711" s="6">
        <v>1150</v>
      </c>
      <c r="J711" s="1" t="s">
        <v>127</v>
      </c>
      <c r="K711" s="6">
        <v>0</v>
      </c>
      <c r="M711" s="70" t="str">
        <f>VLOOKUP(Table3[[#This Row],[Shop Name]],seller!A:A,1,0)</f>
        <v>Rudra Fashion</v>
      </c>
    </row>
    <row r="712" spans="1:13" x14ac:dyDescent="0.2">
      <c r="A712" s="2">
        <v>712</v>
      </c>
      <c r="B712" s="2">
        <v>7</v>
      </c>
      <c r="C712" s="2" t="s">
        <v>43</v>
      </c>
      <c r="D712" s="2" t="s">
        <v>1075</v>
      </c>
      <c r="E712" s="2" t="s">
        <v>7</v>
      </c>
      <c r="F712" s="2" t="s">
        <v>75</v>
      </c>
      <c r="G712" s="2" t="s">
        <v>48</v>
      </c>
      <c r="H712" s="23">
        <v>265</v>
      </c>
      <c r="I712" s="6">
        <v>600</v>
      </c>
      <c r="J712" s="1" t="s">
        <v>127</v>
      </c>
      <c r="K712" s="6">
        <v>0</v>
      </c>
      <c r="M712" s="70" t="str">
        <f>VLOOKUP(Table3[[#This Row],[Shop Name]],seller!A:A,1,0)</f>
        <v>Rudra Fashion</v>
      </c>
    </row>
    <row r="713" spans="1:13" ht="32" x14ac:dyDescent="0.2">
      <c r="A713" s="2">
        <v>713</v>
      </c>
      <c r="B713" s="2">
        <v>3</v>
      </c>
      <c r="C713" s="2" t="s">
        <v>46</v>
      </c>
      <c r="D713" s="2" t="s">
        <v>1076</v>
      </c>
      <c r="E713" s="2" t="s">
        <v>817</v>
      </c>
      <c r="F713" s="2" t="s">
        <v>75</v>
      </c>
      <c r="G713" s="2" t="s">
        <v>48</v>
      </c>
      <c r="H713" s="23">
        <v>525</v>
      </c>
      <c r="I713" s="6">
        <v>900</v>
      </c>
      <c r="J713" s="1" t="s">
        <v>127</v>
      </c>
      <c r="K713" s="6">
        <v>0</v>
      </c>
      <c r="M713" s="70" t="str">
        <f>VLOOKUP(Table3[[#This Row],[Shop Name]],seller!A:A,1,0)</f>
        <v>Rudra Fashion</v>
      </c>
    </row>
    <row r="714" spans="1:13" ht="32" x14ac:dyDescent="0.2">
      <c r="A714" s="2">
        <v>714</v>
      </c>
      <c r="B714" s="2">
        <v>3</v>
      </c>
      <c r="C714" s="2" t="s">
        <v>46</v>
      </c>
      <c r="D714" s="2" t="s">
        <v>1076</v>
      </c>
      <c r="E714" s="2" t="s">
        <v>817</v>
      </c>
      <c r="F714" s="2" t="s">
        <v>75</v>
      </c>
      <c r="G714" s="2" t="s">
        <v>44</v>
      </c>
      <c r="H714" s="23">
        <v>525</v>
      </c>
      <c r="I714" s="6">
        <v>900</v>
      </c>
      <c r="J714" s="1" t="s">
        <v>127</v>
      </c>
      <c r="K714" s="6">
        <v>0</v>
      </c>
      <c r="M714" s="70" t="str">
        <f>VLOOKUP(Table3[[#This Row],[Shop Name]],seller!A:A,1,0)</f>
        <v>Rudra Fashion</v>
      </c>
    </row>
    <row r="715" spans="1:13" x14ac:dyDescent="0.2">
      <c r="A715" s="2">
        <v>715</v>
      </c>
      <c r="B715" s="2">
        <v>2</v>
      </c>
      <c r="C715" s="2" t="s">
        <v>53</v>
      </c>
      <c r="D715" s="2" t="s">
        <v>1078</v>
      </c>
      <c r="E715" s="2" t="s">
        <v>614</v>
      </c>
      <c r="F715" s="2" t="s">
        <v>75</v>
      </c>
      <c r="G715" s="2" t="s">
        <v>49</v>
      </c>
      <c r="H715" s="23">
        <v>480</v>
      </c>
      <c r="I715" s="6">
        <v>800</v>
      </c>
      <c r="J715" s="1" t="s">
        <v>127</v>
      </c>
      <c r="K715" s="6">
        <v>0</v>
      </c>
      <c r="M715" s="70" t="str">
        <f>VLOOKUP(Table3[[#This Row],[Shop Name]],seller!A:A,1,0)</f>
        <v>Rudra Fashion</v>
      </c>
    </row>
    <row r="716" spans="1:13" x14ac:dyDescent="0.2">
      <c r="A716" s="2">
        <v>716</v>
      </c>
      <c r="B716" s="2"/>
      <c r="C716" s="2"/>
      <c r="D716" s="2"/>
      <c r="E716" s="2"/>
      <c r="F716" s="2"/>
      <c r="G716" s="2"/>
      <c r="H716" s="23"/>
      <c r="I716" s="6"/>
      <c r="K716" s="6"/>
      <c r="M716" s="70" t="e">
        <f>VLOOKUP(Table3[[#This Row],[Shop Name]],seller!A:A,1,0)</f>
        <v>#N/A</v>
      </c>
    </row>
    <row r="717" spans="1:13" x14ac:dyDescent="0.2">
      <c r="A717" s="2">
        <v>717</v>
      </c>
      <c r="B717" s="2"/>
      <c r="C717" s="2"/>
      <c r="D717" s="2"/>
      <c r="E717" s="2"/>
      <c r="F717" s="2"/>
      <c r="G717" s="2"/>
      <c r="H717" s="23"/>
      <c r="I717" s="6"/>
      <c r="K717" s="6"/>
      <c r="M717" s="70" t="e">
        <f>VLOOKUP(Table3[[#This Row],[Shop Name]],seller!A:A,1,0)</f>
        <v>#N/A</v>
      </c>
    </row>
    <row r="718" spans="1:13" x14ac:dyDescent="0.2">
      <c r="A718" s="2">
        <v>718</v>
      </c>
      <c r="B718" s="2"/>
      <c r="C718" s="2"/>
      <c r="D718" s="2"/>
      <c r="E718" s="2"/>
      <c r="F718" s="2"/>
      <c r="G718" s="2"/>
      <c r="H718" s="23"/>
      <c r="I718" s="6"/>
      <c r="K718" s="6"/>
      <c r="M718" s="70" t="e">
        <f>VLOOKUP(Table3[[#This Row],[Shop Name]],seller!A:A,1,0)</f>
        <v>#N/A</v>
      </c>
    </row>
    <row r="719" spans="1:13" x14ac:dyDescent="0.2">
      <c r="A719" s="2">
        <v>719</v>
      </c>
      <c r="B719" s="2"/>
      <c r="C719" s="2"/>
      <c r="D719" s="2"/>
      <c r="E719" s="2"/>
      <c r="F719" s="2"/>
      <c r="G719" s="2"/>
      <c r="H719" s="23"/>
      <c r="I719" s="6"/>
      <c r="K719" s="6"/>
      <c r="M719" s="70" t="e">
        <f>VLOOKUP(Table3[[#This Row],[Shop Name]],seller!A:A,1,0)</f>
        <v>#N/A</v>
      </c>
    </row>
    <row r="720" spans="1:13" x14ac:dyDescent="0.2">
      <c r="A720" s="2">
        <v>720</v>
      </c>
      <c r="B720" s="2"/>
      <c r="C720" s="2"/>
      <c r="D720" s="2"/>
      <c r="E720" s="2"/>
      <c r="F720" s="2"/>
      <c r="G720" s="2"/>
      <c r="H720" s="23"/>
      <c r="I720" s="6"/>
      <c r="K720" s="6"/>
      <c r="M720" s="70" t="e">
        <f>VLOOKUP(Table3[[#This Row],[Shop Name]],seller!A:A,1,0)</f>
        <v>#N/A</v>
      </c>
    </row>
    <row r="721" spans="1:13" x14ac:dyDescent="0.2">
      <c r="A721" s="2">
        <v>721</v>
      </c>
      <c r="B721" s="2"/>
      <c r="C721" s="2"/>
      <c r="D721" s="2"/>
      <c r="E721" s="2"/>
      <c r="F721" s="2"/>
      <c r="G721" s="2"/>
      <c r="H721" s="23"/>
      <c r="I721" s="6"/>
      <c r="K721" s="6"/>
      <c r="M721" s="70" t="e">
        <f>VLOOKUP(Table3[[#This Row],[Shop Name]],seller!A:A,1,0)</f>
        <v>#N/A</v>
      </c>
    </row>
    <row r="722" spans="1:13" x14ac:dyDescent="0.2">
      <c r="A722" s="2">
        <v>722</v>
      </c>
      <c r="B722" s="2"/>
      <c r="C722" s="2"/>
      <c r="D722" s="2"/>
      <c r="E722" s="2"/>
      <c r="F722" s="2"/>
      <c r="G722" s="2"/>
      <c r="H722" s="23"/>
      <c r="I722" s="6"/>
      <c r="K722" s="6"/>
      <c r="M722" s="70" t="e">
        <f>VLOOKUP(Table3[[#This Row],[Shop Name]],seller!A:A,1,0)</f>
        <v>#N/A</v>
      </c>
    </row>
    <row r="723" spans="1:13" x14ac:dyDescent="0.2">
      <c r="A723" s="2">
        <v>723</v>
      </c>
      <c r="B723" s="2"/>
      <c r="C723" s="2"/>
      <c r="D723" s="2"/>
      <c r="E723" s="2"/>
      <c r="F723" s="2"/>
      <c r="G723" s="2"/>
      <c r="H723" s="23"/>
      <c r="I723" s="6"/>
      <c r="K723" s="6"/>
      <c r="M723" s="70" t="e">
        <f>VLOOKUP(Table3[[#This Row],[Shop Name]],seller!A:A,1,0)</f>
        <v>#N/A</v>
      </c>
    </row>
    <row r="724" spans="1:13" x14ac:dyDescent="0.2">
      <c r="A724" s="2">
        <v>724</v>
      </c>
      <c r="B724" s="2"/>
      <c r="C724" s="2"/>
      <c r="D724" s="2"/>
      <c r="E724" s="2"/>
      <c r="F724" s="2"/>
      <c r="G724" s="2"/>
      <c r="H724" s="23"/>
      <c r="I724" s="6"/>
      <c r="K724" s="6"/>
      <c r="M724" s="70" t="e">
        <f>VLOOKUP(Table3[[#This Row],[Shop Name]],seller!A:A,1,0)</f>
        <v>#N/A</v>
      </c>
    </row>
    <row r="725" spans="1:13" x14ac:dyDescent="0.2">
      <c r="A725" s="2">
        <v>725</v>
      </c>
      <c r="B725" s="2"/>
      <c r="C725" s="2"/>
      <c r="D725" s="2"/>
      <c r="E725" s="2"/>
      <c r="F725" s="2"/>
      <c r="G725" s="2"/>
      <c r="H725" s="23"/>
      <c r="I725" s="6"/>
      <c r="K725" s="6"/>
      <c r="M725" s="70" t="e">
        <f>VLOOKUP(Table3[[#This Row],[Shop Name]],seller!A:A,1,0)</f>
        <v>#N/A</v>
      </c>
    </row>
    <row r="726" spans="1:13" x14ac:dyDescent="0.2">
      <c r="A726" s="2">
        <v>726</v>
      </c>
      <c r="B726" s="2"/>
      <c r="C726" s="2"/>
      <c r="D726" s="2"/>
      <c r="E726" s="2"/>
      <c r="F726" s="2"/>
      <c r="G726" s="2"/>
      <c r="H726" s="23"/>
      <c r="I726" s="6"/>
      <c r="K726" s="6"/>
      <c r="M726" s="70" t="e">
        <f>VLOOKUP(Table3[[#This Row],[Shop Name]],seller!A:A,1,0)</f>
        <v>#N/A</v>
      </c>
    </row>
    <row r="727" spans="1:13" x14ac:dyDescent="0.2">
      <c r="A727" s="2">
        <v>727</v>
      </c>
      <c r="B727" s="2"/>
      <c r="C727" s="2"/>
      <c r="D727" s="2"/>
      <c r="E727" s="2"/>
      <c r="F727" s="2"/>
      <c r="G727" s="2"/>
      <c r="H727" s="23"/>
      <c r="I727" s="6"/>
      <c r="K727" s="6"/>
      <c r="M727" s="70" t="e">
        <f>VLOOKUP(Table3[[#This Row],[Shop Name]],seller!A:A,1,0)</f>
        <v>#N/A</v>
      </c>
    </row>
    <row r="728" spans="1:13" x14ac:dyDescent="0.2">
      <c r="A728" s="2">
        <v>728</v>
      </c>
      <c r="B728" s="2"/>
      <c r="C728" s="2"/>
      <c r="D728" s="2"/>
      <c r="E728" s="2"/>
      <c r="F728" s="2"/>
      <c r="G728" s="2"/>
      <c r="H728" s="23"/>
      <c r="I728" s="6"/>
      <c r="K728" s="6"/>
      <c r="M728" s="70" t="e">
        <f>VLOOKUP(Table3[[#This Row],[Shop Name]],seller!A:A,1,0)</f>
        <v>#N/A</v>
      </c>
    </row>
    <row r="729" spans="1:13" x14ac:dyDescent="0.2">
      <c r="A729" s="2">
        <v>729</v>
      </c>
      <c r="B729" s="2"/>
      <c r="C729" s="2"/>
      <c r="D729" s="2"/>
      <c r="E729" s="2"/>
      <c r="F729" s="2"/>
      <c r="G729" s="2"/>
      <c r="H729" s="23"/>
      <c r="I729" s="6"/>
      <c r="K729" s="6"/>
      <c r="M729" s="70" t="e">
        <f>VLOOKUP(Table3[[#This Row],[Shop Name]],seller!A:A,1,0)</f>
        <v>#N/A</v>
      </c>
    </row>
    <row r="730" spans="1:13" x14ac:dyDescent="0.2">
      <c r="A730" s="2">
        <v>730</v>
      </c>
      <c r="B730" s="2"/>
      <c r="C730" s="2"/>
      <c r="D730" s="2"/>
      <c r="E730" s="2"/>
      <c r="F730" s="2"/>
      <c r="G730" s="2"/>
      <c r="H730" s="23"/>
      <c r="I730" s="6"/>
      <c r="K730" s="6"/>
      <c r="M730" s="70" t="e">
        <f>VLOOKUP(Table3[[#This Row],[Shop Name]],seller!A:A,1,0)</f>
        <v>#N/A</v>
      </c>
    </row>
    <row r="731" spans="1:13" x14ac:dyDescent="0.2">
      <c r="A731" s="2">
        <v>731</v>
      </c>
      <c r="B731" s="2"/>
      <c r="C731" s="2"/>
      <c r="D731" s="2"/>
      <c r="E731" s="2"/>
      <c r="F731" s="2"/>
      <c r="G731" s="2"/>
      <c r="H731" s="23"/>
      <c r="I731" s="6"/>
      <c r="K731" s="6"/>
      <c r="M731" s="70" t="e">
        <f>VLOOKUP(Table3[[#This Row],[Shop Name]],seller!A:A,1,0)</f>
        <v>#N/A</v>
      </c>
    </row>
    <row r="732" spans="1:13" x14ac:dyDescent="0.2">
      <c r="A732" s="2">
        <v>732</v>
      </c>
      <c r="B732" s="2"/>
      <c r="C732" s="2"/>
      <c r="D732" s="2"/>
      <c r="E732" s="2"/>
      <c r="F732" s="2"/>
      <c r="G732" s="2"/>
      <c r="H732" s="23"/>
      <c r="I732" s="6"/>
      <c r="K732" s="6"/>
      <c r="M732" s="70" t="e">
        <f>VLOOKUP(Table3[[#This Row],[Shop Name]],seller!A:A,1,0)</f>
        <v>#N/A</v>
      </c>
    </row>
    <row r="733" spans="1:13" x14ac:dyDescent="0.2">
      <c r="A733" s="2">
        <v>733</v>
      </c>
      <c r="B733" s="2"/>
      <c r="C733" s="2"/>
      <c r="D733" s="2"/>
      <c r="E733" s="2"/>
      <c r="F733" s="2"/>
      <c r="G733" s="2"/>
      <c r="H733" s="23"/>
      <c r="I733" s="6"/>
      <c r="K733" s="6"/>
      <c r="M733" s="70" t="e">
        <f>VLOOKUP(Table3[[#This Row],[Shop Name]],seller!A:A,1,0)</f>
        <v>#N/A</v>
      </c>
    </row>
    <row r="734" spans="1:13" x14ac:dyDescent="0.2">
      <c r="A734" s="2">
        <v>734</v>
      </c>
      <c r="B734" s="2"/>
      <c r="C734" s="2"/>
      <c r="D734" s="2"/>
      <c r="E734" s="2"/>
      <c r="F734" s="2"/>
      <c r="G734" s="2"/>
      <c r="H734" s="23"/>
      <c r="I734" s="6"/>
      <c r="K734" s="6"/>
      <c r="M734" s="70" t="e">
        <f>VLOOKUP(Table3[[#This Row],[Shop Name]],seller!A:A,1,0)</f>
        <v>#N/A</v>
      </c>
    </row>
    <row r="735" spans="1:13" x14ac:dyDescent="0.2">
      <c r="A735" s="2">
        <v>735</v>
      </c>
      <c r="B735" s="2"/>
      <c r="C735" s="2"/>
      <c r="D735" s="2"/>
      <c r="E735" s="2"/>
      <c r="F735" s="2"/>
      <c r="G735" s="2"/>
      <c r="H735" s="23"/>
      <c r="I735" s="6"/>
      <c r="K735" s="6"/>
      <c r="M735" s="70" t="e">
        <f>VLOOKUP(Table3[[#This Row],[Shop Name]],seller!A:A,1,0)</f>
        <v>#N/A</v>
      </c>
    </row>
    <row r="736" spans="1:13" x14ac:dyDescent="0.2">
      <c r="A736" s="2">
        <v>736</v>
      </c>
      <c r="B736" s="2"/>
      <c r="C736" s="2"/>
      <c r="D736" s="2"/>
      <c r="E736" s="2"/>
      <c r="F736" s="2"/>
      <c r="G736" s="2"/>
      <c r="H736" s="23"/>
      <c r="I736" s="6"/>
      <c r="K736" s="6"/>
      <c r="M736" s="70" t="e">
        <f>VLOOKUP(Table3[[#This Row],[Shop Name]],seller!A:A,1,0)</f>
        <v>#N/A</v>
      </c>
    </row>
    <row r="737" spans="1:13" x14ac:dyDescent="0.2">
      <c r="A737" s="2">
        <v>737</v>
      </c>
      <c r="B737" s="2"/>
      <c r="C737" s="2"/>
      <c r="D737" s="2"/>
      <c r="E737" s="2"/>
      <c r="F737" s="2"/>
      <c r="G737" s="2"/>
      <c r="H737" s="23"/>
      <c r="I737" s="6"/>
      <c r="K737" s="6"/>
      <c r="M737" s="70" t="e">
        <f>VLOOKUP(Table3[[#This Row],[Shop Name]],seller!A:A,1,0)</f>
        <v>#N/A</v>
      </c>
    </row>
    <row r="738" spans="1:13" x14ac:dyDescent="0.2">
      <c r="A738" s="2">
        <v>738</v>
      </c>
      <c r="B738" s="2"/>
      <c r="C738" s="2"/>
      <c r="D738" s="2"/>
      <c r="E738" s="2"/>
      <c r="F738" s="2"/>
      <c r="G738" s="2"/>
      <c r="H738" s="23"/>
      <c r="I738" s="6"/>
      <c r="K738" s="6"/>
      <c r="M738" s="70" t="e">
        <f>VLOOKUP(Table3[[#This Row],[Shop Name]],seller!A:A,1,0)</f>
        <v>#N/A</v>
      </c>
    </row>
    <row r="739" spans="1:13" x14ac:dyDescent="0.2">
      <c r="A739" s="2">
        <v>739</v>
      </c>
      <c r="B739" s="2"/>
      <c r="C739" s="2"/>
      <c r="D739" s="2"/>
      <c r="E739" s="2"/>
      <c r="F739" s="2"/>
      <c r="G739" s="2"/>
      <c r="H739" s="23"/>
      <c r="I739" s="6"/>
      <c r="K739" s="6"/>
      <c r="M739" s="70" t="e">
        <f>VLOOKUP(Table3[[#This Row],[Shop Name]],seller!A:A,1,0)</f>
        <v>#N/A</v>
      </c>
    </row>
    <row r="740" spans="1:13" x14ac:dyDescent="0.2">
      <c r="A740" s="2">
        <v>740</v>
      </c>
      <c r="B740" s="2"/>
      <c r="C740" s="2"/>
      <c r="D740" s="2"/>
      <c r="E740" s="2"/>
      <c r="F740" s="2"/>
      <c r="G740" s="2"/>
      <c r="H740" s="23"/>
      <c r="I740" s="6"/>
      <c r="K740" s="6"/>
      <c r="M740" s="70" t="e">
        <f>VLOOKUP(Table3[[#This Row],[Shop Name]],seller!A:A,1,0)</f>
        <v>#N/A</v>
      </c>
    </row>
    <row r="741" spans="1:13" x14ac:dyDescent="0.2">
      <c r="A741" s="2">
        <v>741</v>
      </c>
      <c r="B741" s="2"/>
      <c r="C741" s="2"/>
      <c r="D741" s="2"/>
      <c r="E741" s="2"/>
      <c r="F741" s="2"/>
      <c r="G741" s="2"/>
      <c r="H741" s="23"/>
      <c r="I741" s="6"/>
      <c r="K741" s="6"/>
      <c r="M741" s="70" t="e">
        <f>VLOOKUP(Table3[[#This Row],[Shop Name]],seller!A:A,1,0)</f>
        <v>#N/A</v>
      </c>
    </row>
    <row r="742" spans="1:13" x14ac:dyDescent="0.2">
      <c r="A742" s="2">
        <v>742</v>
      </c>
      <c r="B742" s="2"/>
      <c r="C742" s="2"/>
      <c r="D742" s="2"/>
      <c r="E742" s="2"/>
      <c r="F742" s="2"/>
      <c r="G742" s="2"/>
      <c r="H742" s="23"/>
      <c r="I742" s="6"/>
      <c r="K742" s="6"/>
      <c r="M742" s="70" t="e">
        <f>VLOOKUP(Table3[[#This Row],[Shop Name]],seller!A:A,1,0)</f>
        <v>#N/A</v>
      </c>
    </row>
    <row r="743" spans="1:13" x14ac:dyDescent="0.2">
      <c r="A743" s="2">
        <v>743</v>
      </c>
      <c r="B743" s="2"/>
      <c r="C743" s="2"/>
      <c r="D743" s="2"/>
      <c r="E743" s="2"/>
      <c r="F743" s="2"/>
      <c r="G743" s="2"/>
      <c r="H743" s="23"/>
      <c r="I743" s="6"/>
      <c r="K743" s="6"/>
      <c r="M743" s="70" t="e">
        <f>VLOOKUP(Table3[[#This Row],[Shop Name]],seller!A:A,1,0)</f>
        <v>#N/A</v>
      </c>
    </row>
    <row r="744" spans="1:13" x14ac:dyDescent="0.2">
      <c r="A744" s="2">
        <v>744</v>
      </c>
      <c r="B744" s="2"/>
      <c r="C744" s="2"/>
      <c r="D744" s="2"/>
      <c r="E744" s="2"/>
      <c r="F744" s="2"/>
      <c r="G744" s="2"/>
      <c r="H744" s="23"/>
      <c r="I744" s="6"/>
      <c r="K744" s="6"/>
      <c r="M744" s="70" t="e">
        <f>VLOOKUP(Table3[[#This Row],[Shop Name]],seller!A:A,1,0)</f>
        <v>#N/A</v>
      </c>
    </row>
    <row r="745" spans="1:13" x14ac:dyDescent="0.2">
      <c r="A745" s="2">
        <v>745</v>
      </c>
      <c r="B745" s="2"/>
      <c r="C745" s="2"/>
      <c r="D745" s="2"/>
      <c r="E745" s="2"/>
      <c r="F745" s="2"/>
      <c r="G745" s="2"/>
      <c r="H745" s="23"/>
      <c r="I745" s="6"/>
      <c r="K745" s="6"/>
      <c r="M745" s="70" t="e">
        <f>VLOOKUP(Table3[[#This Row],[Shop Name]],seller!A:A,1,0)</f>
        <v>#N/A</v>
      </c>
    </row>
    <row r="746" spans="1:13" x14ac:dyDescent="0.2">
      <c r="A746" s="2">
        <v>746</v>
      </c>
      <c r="B746" s="2"/>
      <c r="C746" s="2"/>
      <c r="D746" s="2"/>
      <c r="E746" s="2"/>
      <c r="F746" s="2"/>
      <c r="G746" s="2"/>
      <c r="H746" s="23"/>
      <c r="I746" s="6"/>
      <c r="K746" s="6"/>
      <c r="M746" s="70" t="e">
        <f>VLOOKUP(Table3[[#This Row],[Shop Name]],seller!A:A,1,0)</f>
        <v>#N/A</v>
      </c>
    </row>
    <row r="747" spans="1:13" x14ac:dyDescent="0.2">
      <c r="A747" s="2">
        <v>747</v>
      </c>
      <c r="B747" s="2"/>
      <c r="C747" s="2"/>
      <c r="D747" s="2"/>
      <c r="E747" s="2"/>
      <c r="F747" s="2"/>
      <c r="G747" s="2"/>
      <c r="H747" s="23"/>
      <c r="I747" s="6"/>
      <c r="K747" s="6"/>
      <c r="M747" s="70" t="e">
        <f>VLOOKUP(Table3[[#This Row],[Shop Name]],seller!A:A,1,0)</f>
        <v>#N/A</v>
      </c>
    </row>
    <row r="748" spans="1:13" x14ac:dyDescent="0.2">
      <c r="A748" s="2">
        <v>748</v>
      </c>
      <c r="B748" s="2"/>
      <c r="C748" s="2"/>
      <c r="D748" s="2"/>
      <c r="E748" s="2"/>
      <c r="F748" s="2"/>
      <c r="G748" s="2"/>
      <c r="H748" s="23"/>
      <c r="I748" s="6"/>
      <c r="K748" s="6"/>
      <c r="M748" s="70" t="e">
        <f>VLOOKUP(Table3[[#This Row],[Shop Name]],seller!A:A,1,0)</f>
        <v>#N/A</v>
      </c>
    </row>
    <row r="749" spans="1:13" x14ac:dyDescent="0.2">
      <c r="A749" s="2">
        <v>749</v>
      </c>
      <c r="B749" s="2"/>
      <c r="C749" s="2"/>
      <c r="D749" s="2"/>
      <c r="E749" s="2"/>
      <c r="F749" s="2"/>
      <c r="G749" s="2"/>
      <c r="H749" s="23"/>
      <c r="I749" s="6"/>
      <c r="K749" s="6"/>
      <c r="M749" s="70" t="e">
        <f>VLOOKUP(Table3[[#This Row],[Shop Name]],seller!A:A,1,0)</f>
        <v>#N/A</v>
      </c>
    </row>
    <row r="750" spans="1:13" x14ac:dyDescent="0.2">
      <c r="A750" s="2">
        <v>750</v>
      </c>
      <c r="B750" s="2"/>
      <c r="C750" s="2"/>
      <c r="D750" s="2"/>
      <c r="E750" s="2"/>
      <c r="F750" s="2"/>
      <c r="G750" s="2"/>
      <c r="H750" s="23"/>
      <c r="I750" s="6"/>
      <c r="K750" s="6"/>
      <c r="M750" s="70" t="e">
        <f>VLOOKUP(Table3[[#This Row],[Shop Name]],seller!A:A,1,0)</f>
        <v>#N/A</v>
      </c>
    </row>
    <row r="751" spans="1:13" x14ac:dyDescent="0.2">
      <c r="A751" s="2">
        <v>751</v>
      </c>
      <c r="B751" s="2"/>
      <c r="C751" s="2"/>
      <c r="D751" s="2"/>
      <c r="E751" s="2"/>
      <c r="F751" s="2"/>
      <c r="G751" s="2"/>
      <c r="H751" s="23"/>
      <c r="I751" s="6"/>
      <c r="K751" s="6"/>
      <c r="M751" s="70" t="e">
        <f>VLOOKUP(Table3[[#This Row],[Shop Name]],seller!A:A,1,0)</f>
        <v>#N/A</v>
      </c>
    </row>
    <row r="752" spans="1:13" x14ac:dyDescent="0.2">
      <c r="A752" s="2">
        <v>752</v>
      </c>
      <c r="B752" s="2"/>
      <c r="C752" s="2"/>
      <c r="D752" s="2"/>
      <c r="E752" s="2"/>
      <c r="F752" s="2"/>
      <c r="G752" s="2"/>
      <c r="H752" s="23"/>
      <c r="I752" s="6"/>
      <c r="K752" s="6"/>
      <c r="M752" s="70" t="e">
        <f>VLOOKUP(Table3[[#This Row],[Shop Name]],seller!A:A,1,0)</f>
        <v>#N/A</v>
      </c>
    </row>
    <row r="753" spans="1:13" x14ac:dyDescent="0.2">
      <c r="A753" s="2">
        <v>753</v>
      </c>
      <c r="B753" s="2"/>
      <c r="C753" s="2"/>
      <c r="D753" s="2"/>
      <c r="E753" s="2"/>
      <c r="F753" s="2"/>
      <c r="G753" s="2"/>
      <c r="H753" s="23"/>
      <c r="I753" s="6"/>
      <c r="K753" s="6"/>
      <c r="M753" s="70" t="e">
        <f>VLOOKUP(Table3[[#This Row],[Shop Name]],seller!A:A,1,0)</f>
        <v>#N/A</v>
      </c>
    </row>
    <row r="754" spans="1:13" x14ac:dyDescent="0.2">
      <c r="A754" s="2">
        <v>754</v>
      </c>
      <c r="B754" s="2"/>
      <c r="C754" s="2"/>
      <c r="D754" s="2"/>
      <c r="E754" s="2"/>
      <c r="F754" s="2"/>
      <c r="G754" s="2"/>
      <c r="H754" s="23"/>
      <c r="I754" s="6"/>
      <c r="K754" s="6"/>
      <c r="M754" s="70" t="e">
        <f>VLOOKUP(Table3[[#This Row],[Shop Name]],seller!A:A,1,0)</f>
        <v>#N/A</v>
      </c>
    </row>
    <row r="755" spans="1:13" x14ac:dyDescent="0.2">
      <c r="A755" s="2">
        <v>755</v>
      </c>
      <c r="B755" s="2"/>
      <c r="C755" s="2"/>
      <c r="D755" s="2"/>
      <c r="E755" s="2"/>
      <c r="F755" s="2"/>
      <c r="G755" s="2"/>
      <c r="H755" s="23"/>
      <c r="I755" s="6"/>
      <c r="K755" s="6"/>
      <c r="M755" s="70" t="e">
        <f>VLOOKUP(Table3[[#This Row],[Shop Name]],seller!A:A,1,0)</f>
        <v>#N/A</v>
      </c>
    </row>
    <row r="756" spans="1:13" x14ac:dyDescent="0.2">
      <c r="A756" s="2">
        <v>756</v>
      </c>
      <c r="B756" s="2"/>
      <c r="C756" s="2"/>
      <c r="D756" s="2"/>
      <c r="E756" s="2"/>
      <c r="F756" s="2"/>
      <c r="G756" s="2"/>
      <c r="H756" s="23"/>
      <c r="I756" s="6"/>
      <c r="K756" s="6"/>
      <c r="M756" s="70" t="e">
        <f>VLOOKUP(Table3[[#This Row],[Shop Name]],seller!A:A,1,0)</f>
        <v>#N/A</v>
      </c>
    </row>
    <row r="757" spans="1:13" x14ac:dyDescent="0.2">
      <c r="A757" s="2">
        <v>757</v>
      </c>
      <c r="B757" s="2"/>
      <c r="C757" s="2"/>
      <c r="D757" s="2"/>
      <c r="E757" s="2"/>
      <c r="F757" s="2"/>
      <c r="G757" s="2"/>
      <c r="H757" s="23"/>
      <c r="I757" s="6"/>
      <c r="K757" s="6"/>
      <c r="M757" s="70" t="e">
        <f>VLOOKUP(Table3[[#This Row],[Shop Name]],seller!A:A,1,0)</f>
        <v>#N/A</v>
      </c>
    </row>
    <row r="758" spans="1:13" x14ac:dyDescent="0.2">
      <c r="A758" s="2">
        <v>758</v>
      </c>
      <c r="B758" s="2"/>
      <c r="C758" s="2"/>
      <c r="D758" s="2"/>
      <c r="E758" s="2"/>
      <c r="F758" s="2"/>
      <c r="G758" s="2"/>
      <c r="H758" s="23"/>
      <c r="I758" s="6"/>
      <c r="K758" s="6"/>
      <c r="M758" s="70" t="e">
        <f>VLOOKUP(Table3[[#This Row],[Shop Name]],seller!A:A,1,0)</f>
        <v>#N/A</v>
      </c>
    </row>
    <row r="759" spans="1:13" x14ac:dyDescent="0.2">
      <c r="A759" s="2">
        <v>759</v>
      </c>
      <c r="B759" s="2"/>
      <c r="C759" s="2"/>
      <c r="D759" s="2"/>
      <c r="E759" s="2"/>
      <c r="F759" s="2"/>
      <c r="G759" s="2"/>
      <c r="H759" s="23"/>
      <c r="I759" s="6"/>
      <c r="K759" s="6"/>
      <c r="M759" s="70" t="e">
        <f>VLOOKUP(Table3[[#This Row],[Shop Name]],seller!A:A,1,0)</f>
        <v>#N/A</v>
      </c>
    </row>
    <row r="760" spans="1:13" x14ac:dyDescent="0.2">
      <c r="A760" s="2">
        <v>760</v>
      </c>
      <c r="B760" s="2"/>
      <c r="C760" s="2"/>
      <c r="D760" s="2"/>
      <c r="E760" s="2"/>
      <c r="F760" s="2"/>
      <c r="G760" s="2"/>
      <c r="H760" s="23"/>
      <c r="I760" s="6"/>
      <c r="K760" s="6"/>
      <c r="M760" s="70" t="e">
        <f>VLOOKUP(Table3[[#This Row],[Shop Name]],seller!A:A,1,0)</f>
        <v>#N/A</v>
      </c>
    </row>
    <row r="761" spans="1:13" x14ac:dyDescent="0.2">
      <c r="A761" s="2">
        <v>761</v>
      </c>
      <c r="B761" s="2"/>
      <c r="C761" s="2"/>
      <c r="D761" s="2"/>
      <c r="E761" s="2"/>
      <c r="F761" s="2"/>
      <c r="G761" s="2"/>
      <c r="H761" s="23"/>
      <c r="I761" s="6"/>
      <c r="K761" s="6"/>
      <c r="M761" s="70" t="e">
        <f>VLOOKUP(Table3[[#This Row],[Shop Name]],seller!A:A,1,0)</f>
        <v>#N/A</v>
      </c>
    </row>
    <row r="762" spans="1:13" x14ac:dyDescent="0.2">
      <c r="A762" s="2">
        <v>762</v>
      </c>
      <c r="B762" s="2"/>
      <c r="C762" s="2"/>
      <c r="D762" s="2"/>
      <c r="E762" s="2"/>
      <c r="F762" s="2"/>
      <c r="G762" s="2"/>
      <c r="H762" s="23"/>
      <c r="I762" s="6"/>
      <c r="K762" s="6"/>
      <c r="M762" s="70" t="e">
        <f>VLOOKUP(Table3[[#This Row],[Shop Name]],seller!A:A,1,0)</f>
        <v>#N/A</v>
      </c>
    </row>
    <row r="763" spans="1:13" x14ac:dyDescent="0.2">
      <c r="A763" s="2">
        <v>763</v>
      </c>
      <c r="B763" s="2"/>
      <c r="C763" s="2"/>
      <c r="D763" s="2"/>
      <c r="E763" s="2"/>
      <c r="F763" s="2"/>
      <c r="G763" s="2"/>
      <c r="H763" s="23"/>
      <c r="I763" s="6"/>
      <c r="K763" s="6"/>
      <c r="M763" s="70" t="e">
        <f>VLOOKUP(Table3[[#This Row],[Shop Name]],seller!A:A,1,0)</f>
        <v>#N/A</v>
      </c>
    </row>
    <row r="764" spans="1:13" x14ac:dyDescent="0.2">
      <c r="A764" s="2">
        <v>764</v>
      </c>
      <c r="B764" s="2"/>
      <c r="C764" s="2"/>
      <c r="D764" s="2"/>
      <c r="E764" s="2"/>
      <c r="F764" s="2"/>
      <c r="G764" s="2"/>
      <c r="H764" s="23"/>
      <c r="I764" s="6"/>
      <c r="K764" s="6"/>
      <c r="M764" s="70" t="e">
        <f>VLOOKUP(Table3[[#This Row],[Shop Name]],seller!A:A,1,0)</f>
        <v>#N/A</v>
      </c>
    </row>
    <row r="765" spans="1:13" x14ac:dyDescent="0.2">
      <c r="A765" s="2">
        <v>765</v>
      </c>
      <c r="B765" s="2"/>
      <c r="C765" s="2"/>
      <c r="D765" s="2"/>
      <c r="E765" s="2"/>
      <c r="F765" s="2"/>
      <c r="G765" s="2"/>
      <c r="H765" s="23"/>
      <c r="I765" s="6"/>
      <c r="K765" s="6"/>
      <c r="M765" s="70" t="e">
        <f>VLOOKUP(Table3[[#This Row],[Shop Name]],seller!A:A,1,0)</f>
        <v>#N/A</v>
      </c>
    </row>
    <row r="766" spans="1:13" x14ac:dyDescent="0.2">
      <c r="A766" s="2">
        <v>766</v>
      </c>
      <c r="B766" s="2"/>
      <c r="C766" s="2"/>
      <c r="D766" s="2"/>
      <c r="E766" s="2"/>
      <c r="F766" s="2"/>
      <c r="G766" s="2"/>
      <c r="H766" s="23"/>
      <c r="I766" s="6"/>
      <c r="K766" s="6"/>
      <c r="M766" s="70" t="e">
        <f>VLOOKUP(Table3[[#This Row],[Shop Name]],seller!A:A,1,0)</f>
        <v>#N/A</v>
      </c>
    </row>
    <row r="767" spans="1:13" x14ac:dyDescent="0.2">
      <c r="A767" s="2">
        <v>767</v>
      </c>
      <c r="B767" s="2"/>
      <c r="C767" s="2"/>
      <c r="D767" s="2"/>
      <c r="E767" s="2"/>
      <c r="F767" s="2"/>
      <c r="G767" s="2"/>
      <c r="H767" s="23"/>
      <c r="I767" s="6"/>
      <c r="K767" s="6"/>
      <c r="M767" s="70" t="e">
        <f>VLOOKUP(Table3[[#This Row],[Shop Name]],seller!A:A,1,0)</f>
        <v>#N/A</v>
      </c>
    </row>
    <row r="768" spans="1:13" x14ac:dyDescent="0.2">
      <c r="A768" s="2">
        <v>768</v>
      </c>
      <c r="B768" s="2"/>
      <c r="C768" s="2"/>
      <c r="D768" s="2"/>
      <c r="E768" s="2"/>
      <c r="F768" s="2"/>
      <c r="G768" s="2"/>
      <c r="H768" s="23"/>
      <c r="I768" s="6"/>
      <c r="K768" s="6"/>
      <c r="M768" s="70" t="e">
        <f>VLOOKUP(Table3[[#This Row],[Shop Name]],seller!A:A,1,0)</f>
        <v>#N/A</v>
      </c>
    </row>
    <row r="769" spans="1:13" x14ac:dyDescent="0.2">
      <c r="A769" s="2">
        <v>769</v>
      </c>
      <c r="B769" s="2"/>
      <c r="C769" s="2"/>
      <c r="D769" s="2"/>
      <c r="E769" s="2"/>
      <c r="F769" s="2"/>
      <c r="G769" s="2"/>
      <c r="H769" s="23"/>
      <c r="I769" s="6"/>
      <c r="K769" s="6"/>
      <c r="M769" s="70" t="e">
        <f>VLOOKUP(Table3[[#This Row],[Shop Name]],seller!A:A,1,0)</f>
        <v>#N/A</v>
      </c>
    </row>
    <row r="770" spans="1:13" x14ac:dyDescent="0.2">
      <c r="A770" s="2">
        <v>770</v>
      </c>
      <c r="B770" s="2"/>
      <c r="C770" s="2"/>
      <c r="D770" s="2"/>
      <c r="E770" s="2"/>
      <c r="F770" s="2"/>
      <c r="G770" s="2"/>
      <c r="H770" s="23"/>
      <c r="I770" s="6"/>
      <c r="K770" s="6"/>
      <c r="M770" s="70" t="e">
        <f>VLOOKUP(Table3[[#This Row],[Shop Name]],seller!A:A,1,0)</f>
        <v>#N/A</v>
      </c>
    </row>
    <row r="771" spans="1:13" x14ac:dyDescent="0.2">
      <c r="A771" s="2">
        <v>771</v>
      </c>
      <c r="B771" s="2"/>
      <c r="C771" s="2"/>
      <c r="D771" s="2"/>
      <c r="E771" s="2"/>
      <c r="F771" s="2"/>
      <c r="G771" s="2"/>
      <c r="H771" s="23"/>
      <c r="I771" s="6"/>
      <c r="K771" s="6"/>
      <c r="M771" s="70" t="e">
        <f>VLOOKUP(Table3[[#This Row],[Shop Name]],seller!A:A,1,0)</f>
        <v>#N/A</v>
      </c>
    </row>
    <row r="772" spans="1:13" x14ac:dyDescent="0.2">
      <c r="A772" s="2">
        <v>772</v>
      </c>
      <c r="B772" s="2"/>
      <c r="C772" s="2"/>
      <c r="D772" s="2"/>
      <c r="E772" s="2"/>
      <c r="F772" s="2"/>
      <c r="G772" s="2"/>
      <c r="H772" s="23"/>
      <c r="I772" s="6"/>
      <c r="K772" s="6"/>
      <c r="M772" s="70" t="e">
        <f>VLOOKUP(Table3[[#This Row],[Shop Name]],seller!A:A,1,0)</f>
        <v>#N/A</v>
      </c>
    </row>
    <row r="773" spans="1:13" x14ac:dyDescent="0.2">
      <c r="A773" s="2">
        <v>773</v>
      </c>
      <c r="B773" s="2"/>
      <c r="C773" s="2"/>
      <c r="D773" s="2"/>
      <c r="E773" s="2"/>
      <c r="F773" s="2"/>
      <c r="G773" s="2"/>
      <c r="H773" s="23"/>
      <c r="I773" s="6"/>
      <c r="K773" s="6"/>
      <c r="M773" s="70" t="e">
        <f>VLOOKUP(Table3[[#This Row],[Shop Name]],seller!A:A,1,0)</f>
        <v>#N/A</v>
      </c>
    </row>
    <row r="774" spans="1:13" x14ac:dyDescent="0.2">
      <c r="A774" s="2">
        <v>774</v>
      </c>
      <c r="B774" s="2"/>
      <c r="C774" s="2"/>
      <c r="D774" s="2"/>
      <c r="E774" s="2"/>
      <c r="F774" s="2"/>
      <c r="G774" s="2"/>
      <c r="H774" s="23"/>
      <c r="I774" s="6"/>
      <c r="K774" s="6"/>
      <c r="M774" s="70" t="e">
        <f>VLOOKUP(Table3[[#This Row],[Shop Name]],seller!A:A,1,0)</f>
        <v>#N/A</v>
      </c>
    </row>
    <row r="775" spans="1:13" x14ac:dyDescent="0.2">
      <c r="A775" s="2">
        <v>775</v>
      </c>
      <c r="B775" s="2"/>
      <c r="C775" s="2"/>
      <c r="D775" s="2"/>
      <c r="E775" s="2"/>
      <c r="F775" s="2"/>
      <c r="G775" s="2"/>
      <c r="H775" s="23"/>
      <c r="I775" s="6"/>
      <c r="K775" s="6"/>
      <c r="M775" s="70" t="e">
        <f>VLOOKUP(Table3[[#This Row],[Shop Name]],seller!A:A,1,0)</f>
        <v>#N/A</v>
      </c>
    </row>
    <row r="776" spans="1:13" x14ac:dyDescent="0.2">
      <c r="A776" s="8"/>
      <c r="B776" s="8"/>
      <c r="C776" s="8"/>
      <c r="D776" s="8"/>
      <c r="E776" s="8"/>
      <c r="F776" s="8"/>
      <c r="G776" s="8"/>
      <c r="H776" s="42"/>
      <c r="I776" s="9"/>
      <c r="J776" s="39"/>
      <c r="K776" s="9"/>
      <c r="L776" s="39"/>
      <c r="M776" s="70" t="e">
        <f>VLOOKUP(Table3[[#This Row],[Shop Name]],seller!A:A,1,0)</f>
        <v>#N/A</v>
      </c>
    </row>
    <row r="777" spans="1:13" x14ac:dyDescent="0.2">
      <c r="A777" s="8"/>
      <c r="B777" s="8"/>
      <c r="C777" s="8"/>
      <c r="D777" s="8"/>
      <c r="E777" s="8"/>
      <c r="F777" s="8"/>
      <c r="G777" s="8"/>
      <c r="H777" s="42"/>
      <c r="I777" s="9"/>
      <c r="J777" s="39"/>
      <c r="K777" s="9"/>
      <c r="L777" s="39"/>
      <c r="M777" s="70" t="e">
        <f>VLOOKUP(Table3[[#This Row],[Shop Name]],seller!A:A,1,0)</f>
        <v>#N/A</v>
      </c>
    </row>
    <row r="778" spans="1:13" x14ac:dyDescent="0.2">
      <c r="A778" s="2"/>
      <c r="B778" s="2"/>
      <c r="C778" s="2"/>
      <c r="D778" s="2"/>
      <c r="E778" s="2"/>
      <c r="F778" s="2"/>
      <c r="G778" s="2"/>
      <c r="H778" s="6"/>
      <c r="I778" s="6"/>
      <c r="K778" s="6"/>
    </row>
    <row r="779" spans="1:13" x14ac:dyDescent="0.2">
      <c r="A779" s="2"/>
      <c r="B779" s="2"/>
      <c r="C779" s="2"/>
      <c r="D779" s="2"/>
      <c r="E779" s="2"/>
      <c r="F779" s="2"/>
      <c r="G779" s="2"/>
      <c r="H779" s="6"/>
      <c r="I779" s="6"/>
      <c r="K779" s="6"/>
    </row>
    <row r="780" spans="1:13" x14ac:dyDescent="0.2">
      <c r="A780" s="2"/>
      <c r="B780" s="2"/>
      <c r="C780" s="2"/>
      <c r="D780" s="2"/>
      <c r="E780" s="2"/>
      <c r="F780" s="2"/>
      <c r="G780" s="2"/>
      <c r="H780" s="6"/>
      <c r="I780" s="6"/>
      <c r="K780" s="6"/>
    </row>
    <row r="781" spans="1:13" x14ac:dyDescent="0.2">
      <c r="A781" s="2"/>
      <c r="B781" s="2"/>
      <c r="C781" s="2"/>
      <c r="D781" s="2"/>
      <c r="E781" s="2"/>
      <c r="F781" s="2"/>
      <c r="G781" s="2"/>
      <c r="H781" s="6"/>
      <c r="I781" s="6"/>
      <c r="K781" s="6"/>
    </row>
    <row r="782" spans="1:13" x14ac:dyDescent="0.2">
      <c r="A782" s="2"/>
      <c r="B782" s="2"/>
      <c r="C782" s="2"/>
      <c r="D782" s="2"/>
      <c r="E782" s="2"/>
      <c r="F782" s="2"/>
      <c r="G782" s="2"/>
      <c r="H782" s="6"/>
      <c r="I782" s="6"/>
      <c r="K782" s="6"/>
    </row>
    <row r="783" spans="1:13" x14ac:dyDescent="0.2">
      <c r="A783" s="2"/>
      <c r="B783" s="2"/>
      <c r="C783" s="2"/>
      <c r="D783" s="2"/>
      <c r="E783" s="2"/>
      <c r="F783" s="2"/>
      <c r="G783" s="2"/>
      <c r="H783" s="6"/>
      <c r="I783" s="6"/>
      <c r="K783" s="6"/>
    </row>
    <row r="784" spans="1:13" x14ac:dyDescent="0.2">
      <c r="A784" s="2"/>
      <c r="B784" s="2"/>
      <c r="C784" s="2"/>
      <c r="D784" s="2"/>
      <c r="E784" s="2"/>
      <c r="F784" s="2"/>
      <c r="G784" s="2"/>
      <c r="H784" s="6"/>
      <c r="I784" s="6"/>
      <c r="K784" s="6"/>
    </row>
    <row r="785" spans="1:11" x14ac:dyDescent="0.2">
      <c r="A785" s="2"/>
      <c r="B785" s="2"/>
      <c r="C785" s="2"/>
      <c r="D785" s="2"/>
      <c r="E785" s="2"/>
      <c r="F785" s="2"/>
      <c r="G785" s="2"/>
      <c r="H785" s="6"/>
      <c r="I785" s="6"/>
      <c r="K785" s="6"/>
    </row>
    <row r="786" spans="1:11" x14ac:dyDescent="0.2">
      <c r="A786" s="2"/>
      <c r="B786" s="2"/>
      <c r="C786" s="2"/>
      <c r="D786" s="2"/>
      <c r="E786" s="2"/>
      <c r="F786" s="2"/>
      <c r="G786" s="2"/>
      <c r="H786" s="6"/>
      <c r="I786" s="6"/>
      <c r="K786" s="6"/>
    </row>
    <row r="787" spans="1:11" x14ac:dyDescent="0.2">
      <c r="A787" s="2"/>
      <c r="B787" s="2"/>
      <c r="C787" s="2"/>
      <c r="D787" s="2"/>
      <c r="E787" s="2"/>
      <c r="F787" s="2"/>
      <c r="G787" s="2"/>
      <c r="H787" s="6"/>
      <c r="I787" s="6"/>
      <c r="K787" s="6"/>
    </row>
    <row r="788" spans="1:11" x14ac:dyDescent="0.2">
      <c r="A788" s="2"/>
      <c r="B788" s="2"/>
      <c r="C788" s="2"/>
      <c r="D788" s="2"/>
      <c r="E788" s="2"/>
      <c r="F788" s="2"/>
      <c r="G788" s="2"/>
      <c r="H788" s="6"/>
      <c r="I788" s="6"/>
      <c r="K788" s="6"/>
    </row>
    <row r="789" spans="1:11" x14ac:dyDescent="0.2">
      <c r="A789" s="2"/>
      <c r="B789" s="2"/>
      <c r="C789" s="2"/>
      <c r="D789" s="2"/>
      <c r="E789" s="2"/>
      <c r="F789" s="2"/>
      <c r="G789" s="2"/>
      <c r="H789" s="6"/>
      <c r="I789" s="6"/>
      <c r="K789" s="6"/>
    </row>
    <row r="790" spans="1:11" x14ac:dyDescent="0.2">
      <c r="A790" s="2"/>
      <c r="B790" s="2"/>
      <c r="C790" s="2"/>
      <c r="D790" s="2"/>
      <c r="E790" s="2"/>
      <c r="F790" s="2"/>
      <c r="G790" s="2"/>
      <c r="H790" s="6"/>
      <c r="I790" s="6"/>
      <c r="K790" s="6"/>
    </row>
    <row r="791" spans="1:11" x14ac:dyDescent="0.2">
      <c r="A791" s="2"/>
      <c r="B791" s="2"/>
      <c r="C791" s="2"/>
      <c r="D791" s="2"/>
      <c r="E791" s="2"/>
      <c r="F791" s="2"/>
      <c r="G791" s="2"/>
      <c r="H791" s="6"/>
      <c r="I791" s="6"/>
      <c r="K791" s="6"/>
    </row>
    <row r="792" spans="1:11" x14ac:dyDescent="0.2">
      <c r="A792" s="2"/>
      <c r="B792" s="2"/>
      <c r="C792" s="2"/>
      <c r="D792" s="2"/>
      <c r="E792" s="2"/>
      <c r="F792" s="2"/>
      <c r="G792" s="2"/>
      <c r="H792" s="6"/>
      <c r="I792" s="6"/>
      <c r="K792" s="6"/>
    </row>
    <row r="793" spans="1:11" x14ac:dyDescent="0.2">
      <c r="A793" s="2"/>
      <c r="B793" s="2"/>
      <c r="C793" s="2"/>
      <c r="D793" s="2"/>
      <c r="E793" s="2"/>
      <c r="F793" s="2"/>
      <c r="G793" s="2"/>
      <c r="H793" s="6"/>
      <c r="I793" s="6"/>
      <c r="K793" s="6"/>
    </row>
    <row r="794" spans="1:11" x14ac:dyDescent="0.2">
      <c r="A794" s="2"/>
      <c r="B794" s="2"/>
      <c r="C794" s="2"/>
      <c r="D794" s="2"/>
      <c r="E794" s="2"/>
      <c r="F794" s="2"/>
      <c r="G794" s="2"/>
      <c r="H794" s="6"/>
      <c r="I794" s="6"/>
      <c r="K794" s="6"/>
    </row>
    <row r="795" spans="1:11" x14ac:dyDescent="0.2">
      <c r="A795" s="2"/>
      <c r="B795" s="2"/>
      <c r="C795" s="2"/>
      <c r="D795" s="2"/>
      <c r="E795" s="2"/>
      <c r="F795" s="2"/>
      <c r="G795" s="2"/>
      <c r="H795" s="6"/>
      <c r="I795" s="6"/>
      <c r="K795" s="6"/>
    </row>
    <row r="796" spans="1:11" x14ac:dyDescent="0.2">
      <c r="A796" s="2"/>
      <c r="B796" s="2"/>
      <c r="C796" s="2"/>
      <c r="D796" s="2"/>
      <c r="E796" s="2"/>
      <c r="F796" s="2"/>
      <c r="G796" s="2"/>
      <c r="H796" s="6"/>
      <c r="I796" s="6"/>
      <c r="K796" s="6"/>
    </row>
    <row r="797" spans="1:11" x14ac:dyDescent="0.2">
      <c r="A797" s="2"/>
      <c r="B797" s="2"/>
      <c r="C797" s="2"/>
      <c r="D797" s="2"/>
      <c r="E797" s="2"/>
      <c r="F797" s="2"/>
      <c r="G797" s="2"/>
      <c r="H797" s="6"/>
      <c r="I797" s="6"/>
      <c r="K797" s="6"/>
    </row>
    <row r="798" spans="1:11" x14ac:dyDescent="0.2">
      <c r="A798" s="2"/>
      <c r="B798" s="2"/>
      <c r="C798" s="2"/>
      <c r="D798" s="2"/>
      <c r="E798" s="2"/>
      <c r="F798" s="2"/>
      <c r="G798" s="2"/>
      <c r="H798" s="6"/>
      <c r="I798" s="6"/>
      <c r="K798" s="6"/>
    </row>
    <row r="799" spans="1:11" x14ac:dyDescent="0.2">
      <c r="A799" s="2"/>
      <c r="B799" s="2"/>
      <c r="C799" s="2"/>
      <c r="D799" s="2"/>
      <c r="E799" s="2"/>
      <c r="F799" s="2"/>
      <c r="G799" s="2"/>
      <c r="H799" s="6"/>
      <c r="I799" s="6"/>
      <c r="K799" s="6"/>
    </row>
    <row r="800" spans="1:11" x14ac:dyDescent="0.2">
      <c r="A800" s="2"/>
      <c r="B800" s="2"/>
      <c r="C800" s="2"/>
      <c r="D800" s="2"/>
      <c r="E800" s="2"/>
      <c r="F800" s="2"/>
      <c r="G800" s="2"/>
      <c r="H800" s="6"/>
      <c r="I800" s="6"/>
      <c r="K800" s="6"/>
    </row>
    <row r="801" spans="1:11" x14ac:dyDescent="0.2">
      <c r="A801" s="2"/>
      <c r="B801" s="2"/>
      <c r="C801" s="2"/>
      <c r="D801" s="2"/>
      <c r="E801" s="2"/>
      <c r="F801" s="2"/>
      <c r="G801" s="2"/>
      <c r="H801" s="6"/>
      <c r="I801" s="6"/>
      <c r="K801" s="6"/>
    </row>
    <row r="802" spans="1:11" x14ac:dyDescent="0.2">
      <c r="A802" s="2"/>
      <c r="B802" s="2"/>
      <c r="C802" s="2"/>
      <c r="D802" s="2"/>
      <c r="E802" s="2"/>
      <c r="F802" s="2"/>
      <c r="G802" s="2"/>
      <c r="H802" s="6"/>
      <c r="I802" s="6"/>
      <c r="K802" s="6"/>
    </row>
    <row r="803" spans="1:11" x14ac:dyDescent="0.2">
      <c r="A803" s="2"/>
      <c r="B803" s="2"/>
      <c r="C803" s="2"/>
      <c r="D803" s="2"/>
      <c r="E803" s="2"/>
      <c r="F803" s="2"/>
      <c r="G803" s="2"/>
      <c r="H803" s="6"/>
      <c r="I803" s="6"/>
      <c r="K803" s="6"/>
    </row>
    <row r="804" spans="1:11" x14ac:dyDescent="0.2">
      <c r="A804" s="2"/>
      <c r="B804" s="2"/>
      <c r="C804" s="2"/>
      <c r="D804" s="2"/>
      <c r="E804" s="2"/>
      <c r="F804" s="2"/>
      <c r="G804" s="2"/>
      <c r="H804" s="6"/>
      <c r="I804" s="6"/>
      <c r="K804" s="6"/>
    </row>
    <row r="805" spans="1:11" x14ac:dyDescent="0.2">
      <c r="A805" s="2"/>
      <c r="B805" s="2"/>
      <c r="C805" s="2"/>
      <c r="D805" s="2"/>
      <c r="E805" s="2"/>
      <c r="F805" s="2"/>
      <c r="G805" s="2"/>
      <c r="H805" s="6"/>
      <c r="I805" s="6"/>
      <c r="K805" s="6"/>
    </row>
    <row r="806" spans="1:11" x14ac:dyDescent="0.2">
      <c r="A806" s="2"/>
      <c r="B806" s="2"/>
      <c r="C806" s="2"/>
      <c r="D806" s="2"/>
      <c r="E806" s="2"/>
      <c r="F806" s="2"/>
      <c r="G806" s="2"/>
      <c r="H806" s="6"/>
      <c r="I806" s="6"/>
      <c r="K806" s="6"/>
    </row>
    <row r="807" spans="1:11" x14ac:dyDescent="0.2">
      <c r="A807" s="2"/>
      <c r="B807" s="2"/>
      <c r="C807" s="2"/>
      <c r="D807" s="2"/>
      <c r="E807" s="2"/>
      <c r="F807" s="2"/>
      <c r="G807" s="2"/>
      <c r="H807" s="6"/>
      <c r="I807" s="6"/>
      <c r="K807" s="6"/>
    </row>
    <row r="808" spans="1:11" x14ac:dyDescent="0.2">
      <c r="A808" s="2"/>
      <c r="B808" s="2"/>
      <c r="C808" s="2"/>
      <c r="D808" s="2"/>
      <c r="E808" s="2"/>
      <c r="F808" s="2"/>
      <c r="G808" s="2"/>
      <c r="H808" s="6"/>
      <c r="I808" s="6"/>
      <c r="K808" s="6"/>
    </row>
    <row r="809" spans="1:11" x14ac:dyDescent="0.2">
      <c r="A809" s="2"/>
      <c r="B809" s="2"/>
      <c r="C809" s="2"/>
      <c r="D809" s="2"/>
      <c r="E809" s="2"/>
      <c r="F809" s="2"/>
      <c r="G809" s="2"/>
      <c r="H809" s="6"/>
      <c r="I809" s="6"/>
      <c r="K809" s="6"/>
    </row>
    <row r="810" spans="1:11" x14ac:dyDescent="0.2">
      <c r="A810" s="2"/>
      <c r="B810" s="2"/>
      <c r="C810" s="2"/>
      <c r="D810" s="2"/>
      <c r="E810" s="2"/>
      <c r="F810" s="2"/>
      <c r="G810" s="2"/>
      <c r="H810" s="6"/>
      <c r="I810" s="6"/>
      <c r="K810" s="6"/>
    </row>
    <row r="811" spans="1:11" x14ac:dyDescent="0.2">
      <c r="A811" s="2"/>
      <c r="B811" s="2"/>
      <c r="C811" s="2"/>
      <c r="D811" s="2"/>
      <c r="E811" s="2"/>
      <c r="F811" s="2"/>
      <c r="G811" s="2"/>
      <c r="H811" s="6"/>
      <c r="I811" s="6"/>
      <c r="K811" s="6"/>
    </row>
    <row r="812" spans="1:11" x14ac:dyDescent="0.2">
      <c r="A812" s="2"/>
      <c r="B812" s="2"/>
      <c r="C812" s="2"/>
      <c r="D812" s="2"/>
      <c r="E812" s="2"/>
      <c r="F812" s="2"/>
      <c r="G812" s="2"/>
      <c r="H812" s="6"/>
      <c r="I812" s="6"/>
      <c r="K812" s="6"/>
    </row>
    <row r="813" spans="1:11" x14ac:dyDescent="0.2">
      <c r="A813" s="2"/>
      <c r="B813" s="2"/>
      <c r="C813" s="2"/>
      <c r="D813" s="2"/>
      <c r="E813" s="2"/>
      <c r="F813" s="2"/>
      <c r="G813" s="2"/>
      <c r="H813" s="6"/>
      <c r="I813" s="6"/>
      <c r="K813" s="6"/>
    </row>
    <row r="814" spans="1:11" x14ac:dyDescent="0.2">
      <c r="A814" s="2"/>
      <c r="B814" s="2"/>
      <c r="C814" s="2"/>
      <c r="D814" s="2"/>
      <c r="E814" s="2"/>
      <c r="F814" s="2"/>
      <c r="G814" s="2"/>
      <c r="H814" s="6"/>
      <c r="I814" s="6"/>
      <c r="K814" s="6"/>
    </row>
    <row r="815" spans="1:11" x14ac:dyDescent="0.2">
      <c r="A815" s="2"/>
      <c r="B815" s="2"/>
      <c r="C815" s="2"/>
      <c r="D815" s="2"/>
      <c r="E815" s="2"/>
      <c r="F815" s="2"/>
      <c r="G815" s="2"/>
      <c r="H815" s="6"/>
      <c r="I815" s="6"/>
      <c r="K815" s="6"/>
    </row>
    <row r="816" spans="1:11" x14ac:dyDescent="0.2">
      <c r="A816" s="2"/>
      <c r="B816" s="2"/>
      <c r="C816" s="2"/>
      <c r="D816" s="2"/>
      <c r="E816" s="2"/>
      <c r="F816" s="2"/>
      <c r="G816" s="2"/>
      <c r="H816" s="6"/>
      <c r="I816" s="6"/>
      <c r="K816" s="6"/>
    </row>
    <row r="817" spans="1:11" x14ac:dyDescent="0.2">
      <c r="A817" s="2"/>
      <c r="B817" s="2"/>
      <c r="C817" s="2"/>
      <c r="D817" s="2"/>
      <c r="E817" s="2"/>
      <c r="F817" s="2"/>
      <c r="G817" s="2"/>
      <c r="H817" s="6"/>
      <c r="I817" s="6"/>
      <c r="K817" s="6"/>
    </row>
    <row r="818" spans="1:11" x14ac:dyDescent="0.2">
      <c r="A818" s="2"/>
      <c r="B818" s="2"/>
      <c r="C818" s="2"/>
      <c r="D818" s="2"/>
      <c r="E818" s="2"/>
      <c r="F818" s="2"/>
      <c r="G818" s="2"/>
      <c r="H818" s="6"/>
      <c r="I818" s="6"/>
      <c r="K818" s="6"/>
    </row>
    <row r="819" spans="1:11" x14ac:dyDescent="0.2">
      <c r="A819" s="2"/>
      <c r="B819" s="2"/>
      <c r="C819" s="2"/>
      <c r="D819" s="2"/>
      <c r="E819" s="2"/>
      <c r="F819" s="2"/>
      <c r="G819" s="2"/>
      <c r="H819" s="6"/>
      <c r="I819" s="6"/>
      <c r="K819" s="6"/>
    </row>
    <row r="820" spans="1:11" x14ac:dyDescent="0.2">
      <c r="A820" s="2"/>
      <c r="B820" s="2"/>
      <c r="C820" s="2"/>
      <c r="D820" s="2"/>
      <c r="E820" s="2"/>
      <c r="F820" s="2"/>
      <c r="G820" s="2"/>
      <c r="H820" s="6"/>
      <c r="I820" s="6"/>
      <c r="K820" s="6"/>
    </row>
    <row r="821" spans="1:11" x14ac:dyDescent="0.2">
      <c r="A821" s="2"/>
      <c r="B821" s="2"/>
      <c r="C821" s="2"/>
      <c r="D821" s="2"/>
      <c r="E821" s="2"/>
      <c r="F821" s="2"/>
      <c r="G821" s="2"/>
      <c r="H821" s="6"/>
      <c r="I821" s="6"/>
      <c r="K821" s="6"/>
    </row>
    <row r="822" spans="1:11" x14ac:dyDescent="0.2">
      <c r="A822" s="2"/>
      <c r="B822" s="2"/>
      <c r="C822" s="2"/>
      <c r="D822" s="2"/>
      <c r="E822" s="2"/>
      <c r="F822" s="2"/>
      <c r="G822" s="2"/>
      <c r="H822" s="6"/>
      <c r="I822" s="6"/>
      <c r="K822" s="6"/>
    </row>
    <row r="823" spans="1:11" x14ac:dyDescent="0.2">
      <c r="A823" s="2"/>
      <c r="B823" s="2"/>
      <c r="C823" s="2"/>
      <c r="D823" s="2"/>
      <c r="E823" s="2"/>
      <c r="F823" s="2"/>
      <c r="G823" s="2"/>
      <c r="H823" s="6"/>
      <c r="I823" s="6"/>
      <c r="K823" s="6"/>
    </row>
    <row r="824" spans="1:11" x14ac:dyDescent="0.2">
      <c r="A824" s="2"/>
      <c r="B824" s="2"/>
      <c r="C824" s="2"/>
      <c r="D824" s="2"/>
      <c r="E824" s="2"/>
      <c r="F824" s="2"/>
      <c r="G824" s="2"/>
      <c r="H824" s="6"/>
      <c r="I824" s="6"/>
      <c r="K824" s="6"/>
    </row>
    <row r="825" spans="1:11" x14ac:dyDescent="0.2">
      <c r="A825" s="2"/>
      <c r="B825" s="2"/>
      <c r="C825" s="2"/>
      <c r="D825" s="2"/>
      <c r="E825" s="2"/>
      <c r="F825" s="2"/>
      <c r="G825" s="2"/>
      <c r="H825" s="6"/>
      <c r="I825" s="6"/>
      <c r="K825" s="6"/>
    </row>
    <row r="826" spans="1:11" x14ac:dyDescent="0.2">
      <c r="A826" s="2"/>
      <c r="B826" s="2"/>
      <c r="C826" s="2"/>
      <c r="D826" s="2"/>
      <c r="E826" s="2"/>
      <c r="F826" s="2"/>
      <c r="G826" s="2"/>
      <c r="H826" s="6"/>
      <c r="I826" s="6"/>
      <c r="K826" s="6"/>
    </row>
    <row r="827" spans="1:11" x14ac:dyDescent="0.2">
      <c r="A827" s="2"/>
      <c r="B827" s="2"/>
      <c r="C827" s="2"/>
      <c r="D827" s="2"/>
      <c r="E827" s="2"/>
      <c r="F827" s="2"/>
      <c r="G827" s="2"/>
      <c r="H827" s="6"/>
      <c r="I827" s="6"/>
      <c r="K827" s="6"/>
    </row>
    <row r="828" spans="1:11" x14ac:dyDescent="0.2">
      <c r="A828" s="2"/>
      <c r="B828" s="2"/>
      <c r="C828" s="2"/>
      <c r="D828" s="2"/>
      <c r="E828" s="2"/>
      <c r="F828" s="2"/>
      <c r="G828" s="2"/>
      <c r="H828" s="6"/>
      <c r="I828" s="6"/>
      <c r="K828" s="6"/>
    </row>
    <row r="829" spans="1:11" x14ac:dyDescent="0.2">
      <c r="A829" s="2"/>
      <c r="B829" s="2"/>
      <c r="C829" s="2"/>
      <c r="D829" s="2"/>
      <c r="E829" s="2"/>
      <c r="F829" s="2"/>
      <c r="G829" s="2"/>
      <c r="H829" s="6"/>
      <c r="I829" s="6"/>
      <c r="K829" s="6"/>
    </row>
    <row r="830" spans="1:11" x14ac:dyDescent="0.2">
      <c r="A830" s="2"/>
      <c r="B830" s="2"/>
      <c r="C830" s="2"/>
      <c r="D830" s="2"/>
      <c r="E830" s="2"/>
      <c r="F830" s="2"/>
      <c r="G830" s="2"/>
      <c r="H830" s="6"/>
      <c r="I830" s="6"/>
      <c r="K830" s="6"/>
    </row>
    <row r="831" spans="1:11" x14ac:dyDescent="0.2">
      <c r="A831" s="2"/>
      <c r="B831" s="2"/>
      <c r="C831" s="2"/>
      <c r="D831" s="2"/>
      <c r="E831" s="2"/>
      <c r="F831" s="2"/>
      <c r="G831" s="2"/>
      <c r="H831" s="6"/>
      <c r="I831" s="6"/>
      <c r="K831" s="6"/>
    </row>
    <row r="832" spans="1:11" x14ac:dyDescent="0.2">
      <c r="A832" s="2"/>
      <c r="B832" s="2"/>
      <c r="C832" s="2"/>
      <c r="D832" s="2"/>
      <c r="E832" s="2"/>
      <c r="F832" s="2"/>
      <c r="G832" s="2"/>
      <c r="H832" s="6"/>
      <c r="I832" s="6"/>
      <c r="K832" s="6"/>
    </row>
    <row r="833" spans="1:11" x14ac:dyDescent="0.2">
      <c r="A833" s="2"/>
      <c r="B833" s="2"/>
      <c r="C833" s="2"/>
      <c r="D833" s="2"/>
      <c r="E833" s="2"/>
      <c r="F833" s="2"/>
      <c r="G833" s="2"/>
      <c r="H833" s="6"/>
      <c r="I833" s="6"/>
      <c r="K833" s="6"/>
    </row>
    <row r="834" spans="1:11" x14ac:dyDescent="0.2">
      <c r="A834" s="2"/>
      <c r="B834" s="2"/>
      <c r="C834" s="2"/>
      <c r="D834" s="2"/>
      <c r="E834" s="2"/>
      <c r="F834" s="2"/>
      <c r="G834" s="2"/>
      <c r="H834" s="6"/>
      <c r="I834" s="6"/>
      <c r="K834" s="6"/>
    </row>
    <row r="835" spans="1:11" x14ac:dyDescent="0.2">
      <c r="A835" s="2"/>
      <c r="B835" s="2"/>
      <c r="C835" s="2"/>
      <c r="D835" s="2"/>
      <c r="E835" s="2"/>
      <c r="F835" s="2"/>
      <c r="G835" s="2"/>
      <c r="H835" s="6"/>
      <c r="I835" s="6"/>
      <c r="K835" s="6"/>
    </row>
    <row r="836" spans="1:11" x14ac:dyDescent="0.2">
      <c r="A836" s="2"/>
      <c r="B836" s="2"/>
      <c r="C836" s="2"/>
      <c r="D836" s="2"/>
      <c r="E836" s="2"/>
      <c r="F836" s="2"/>
      <c r="G836" s="2"/>
      <c r="H836" s="6"/>
      <c r="I836" s="6"/>
      <c r="K836" s="6"/>
    </row>
    <row r="837" spans="1:11" x14ac:dyDescent="0.2">
      <c r="A837" s="2"/>
      <c r="B837" s="2"/>
      <c r="C837" s="2"/>
      <c r="D837" s="2"/>
      <c r="E837" s="2"/>
      <c r="F837" s="2"/>
      <c r="G837" s="2"/>
      <c r="H837" s="6"/>
      <c r="I837" s="6"/>
      <c r="K837" s="6"/>
    </row>
    <row r="838" spans="1:11" x14ac:dyDescent="0.2">
      <c r="A838" s="2"/>
      <c r="B838" s="2"/>
      <c r="C838" s="2"/>
      <c r="D838" s="2"/>
      <c r="E838" s="2"/>
      <c r="F838" s="2"/>
      <c r="G838" s="2"/>
      <c r="H838" s="6"/>
      <c r="I838" s="6"/>
      <c r="K838" s="6"/>
    </row>
    <row r="839" spans="1:11" x14ac:dyDescent="0.2">
      <c r="A839" s="2"/>
      <c r="B839" s="2"/>
      <c r="C839" s="2"/>
      <c r="D839" s="2"/>
      <c r="E839" s="2"/>
      <c r="F839" s="2"/>
      <c r="G839" s="2"/>
      <c r="H839" s="6"/>
      <c r="I839" s="6"/>
      <c r="K839" s="6"/>
    </row>
    <row r="840" spans="1:11" x14ac:dyDescent="0.2">
      <c r="A840" s="2"/>
      <c r="B840" s="2"/>
      <c r="C840" s="2"/>
      <c r="D840" s="2"/>
      <c r="E840" s="2"/>
      <c r="F840" s="2"/>
      <c r="G840" s="2"/>
      <c r="H840" s="6"/>
      <c r="I840" s="6"/>
      <c r="K840" s="6"/>
    </row>
    <row r="841" spans="1:11" x14ac:dyDescent="0.2">
      <c r="A841" s="2"/>
      <c r="B841" s="2"/>
      <c r="C841" s="2"/>
      <c r="D841" s="2"/>
      <c r="E841" s="2"/>
      <c r="F841" s="2"/>
      <c r="G841" s="2"/>
      <c r="H841" s="6"/>
      <c r="I841" s="6"/>
      <c r="K841" s="6"/>
    </row>
    <row r="842" spans="1:11" x14ac:dyDescent="0.2">
      <c r="A842" s="2"/>
      <c r="B842" s="2"/>
      <c r="C842" s="2"/>
      <c r="D842" s="2"/>
      <c r="E842" s="2"/>
      <c r="F842" s="2"/>
      <c r="G842" s="2"/>
      <c r="H842" s="6"/>
      <c r="I842" s="6"/>
      <c r="K842" s="6"/>
    </row>
    <row r="843" spans="1:11" x14ac:dyDescent="0.2">
      <c r="A843" s="2"/>
      <c r="B843" s="2"/>
      <c r="C843" s="2"/>
      <c r="D843" s="2"/>
      <c r="E843" s="2"/>
      <c r="F843" s="2"/>
      <c r="G843" s="2"/>
      <c r="H843" s="6"/>
      <c r="I843" s="6"/>
      <c r="K843" s="6"/>
    </row>
    <row r="844" spans="1:11" x14ac:dyDescent="0.2">
      <c r="A844" s="2"/>
      <c r="B844" s="2"/>
      <c r="C844" s="2"/>
      <c r="D844" s="2"/>
      <c r="E844" s="2"/>
      <c r="F844" s="2"/>
      <c r="G844" s="2"/>
      <c r="H844" s="6"/>
      <c r="I844" s="6"/>
      <c r="K844" s="6"/>
    </row>
    <row r="845" spans="1:11" x14ac:dyDescent="0.2">
      <c r="A845" s="2"/>
      <c r="F845" s="2"/>
    </row>
    <row r="846" spans="1:11" x14ac:dyDescent="0.2">
      <c r="A846" s="2"/>
      <c r="F846" s="2"/>
    </row>
    <row r="847" spans="1:11" x14ac:dyDescent="0.2">
      <c r="A847" s="2"/>
      <c r="F847" s="2"/>
    </row>
    <row r="848" spans="1:11" x14ac:dyDescent="0.2">
      <c r="A848" s="2"/>
      <c r="F848" s="2"/>
    </row>
    <row r="849" spans="1:6" x14ac:dyDescent="0.2">
      <c r="A849" s="2"/>
      <c r="F849" s="2"/>
    </row>
    <row r="850" spans="1:6" x14ac:dyDescent="0.2">
      <c r="A850" s="2"/>
      <c r="F850" s="2"/>
    </row>
    <row r="851" spans="1:6" x14ac:dyDescent="0.2">
      <c r="A851" s="2"/>
      <c r="F851" s="2"/>
    </row>
    <row r="852" spans="1:6" x14ac:dyDescent="0.2">
      <c r="A852" s="2"/>
      <c r="F852" s="2"/>
    </row>
    <row r="853" spans="1:6" x14ac:dyDescent="0.2">
      <c r="A853" s="2"/>
      <c r="F853" s="2"/>
    </row>
    <row r="854" spans="1:6" x14ac:dyDescent="0.2">
      <c r="A854" s="2"/>
      <c r="F854" s="2"/>
    </row>
    <row r="855" spans="1:6" x14ac:dyDescent="0.2">
      <c r="A855" s="2"/>
      <c r="F855" s="2"/>
    </row>
    <row r="856" spans="1:6" x14ac:dyDescent="0.2">
      <c r="A856" s="2"/>
      <c r="F856" s="2"/>
    </row>
    <row r="857" spans="1:6" x14ac:dyDescent="0.2">
      <c r="A857" s="2"/>
      <c r="F857" s="2"/>
    </row>
    <row r="858" spans="1:6" x14ac:dyDescent="0.2">
      <c r="A858" s="2"/>
      <c r="F858" s="2"/>
    </row>
    <row r="859" spans="1:6" x14ac:dyDescent="0.2">
      <c r="A859" s="2"/>
      <c r="F859" s="2"/>
    </row>
    <row r="860" spans="1:6" x14ac:dyDescent="0.2">
      <c r="A860" s="2"/>
      <c r="F860" s="2"/>
    </row>
    <row r="861" spans="1:6" x14ac:dyDescent="0.2">
      <c r="A861" s="2"/>
      <c r="F861" s="2"/>
    </row>
    <row r="862" spans="1:6" x14ac:dyDescent="0.2">
      <c r="A862" s="2"/>
      <c r="F862" s="2"/>
    </row>
    <row r="863" spans="1:6" x14ac:dyDescent="0.2">
      <c r="A863" s="2"/>
      <c r="F863" s="2"/>
    </row>
    <row r="864" spans="1:6" x14ac:dyDescent="0.2">
      <c r="A864" s="2"/>
      <c r="F864" s="2"/>
    </row>
    <row r="865" spans="1:6" x14ac:dyDescent="0.2">
      <c r="A865" s="2"/>
      <c r="F865" s="2"/>
    </row>
    <row r="866" spans="1:6" x14ac:dyDescent="0.2">
      <c r="A866" s="2"/>
      <c r="F866" s="2"/>
    </row>
    <row r="867" spans="1:6" x14ac:dyDescent="0.2">
      <c r="A867" s="2"/>
      <c r="F867" s="2"/>
    </row>
    <row r="868" spans="1:6" x14ac:dyDescent="0.2">
      <c r="A868" s="2"/>
      <c r="F868" s="2"/>
    </row>
    <row r="869" spans="1:6" x14ac:dyDescent="0.2">
      <c r="A869" s="2"/>
      <c r="F869" s="2"/>
    </row>
    <row r="870" spans="1:6" x14ac:dyDescent="0.2">
      <c r="A870" s="2"/>
      <c r="F870" s="2"/>
    </row>
    <row r="871" spans="1:6" x14ac:dyDescent="0.2">
      <c r="A871" s="2"/>
      <c r="F871" s="2"/>
    </row>
    <row r="872" spans="1:6" x14ac:dyDescent="0.2">
      <c r="A872" s="2"/>
      <c r="F872" s="2"/>
    </row>
    <row r="873" spans="1:6" x14ac:dyDescent="0.2">
      <c r="A873" s="2"/>
      <c r="F873" s="2"/>
    </row>
    <row r="874" spans="1:6" x14ac:dyDescent="0.2">
      <c r="A874" s="2"/>
      <c r="F874" s="2"/>
    </row>
    <row r="875" spans="1:6" x14ac:dyDescent="0.2">
      <c r="A875" s="2"/>
      <c r="F875" s="2"/>
    </row>
    <row r="876" spans="1:6" x14ac:dyDescent="0.2">
      <c r="A876" s="2"/>
      <c r="F876" s="2"/>
    </row>
    <row r="877" spans="1:6" x14ac:dyDescent="0.2">
      <c r="A877" s="2"/>
      <c r="F877" s="2"/>
    </row>
    <row r="878" spans="1:6" x14ac:dyDescent="0.2">
      <c r="A878" s="2"/>
      <c r="F878" s="2"/>
    </row>
    <row r="879" spans="1:6" x14ac:dyDescent="0.2">
      <c r="A879" s="2"/>
      <c r="F879" s="2"/>
    </row>
    <row r="880" spans="1:6" x14ac:dyDescent="0.2">
      <c r="A880" s="2"/>
      <c r="F880" s="2"/>
    </row>
    <row r="881" spans="1:6" x14ac:dyDescent="0.2">
      <c r="A881" s="2"/>
      <c r="F881" s="2"/>
    </row>
    <row r="882" spans="1:6" x14ac:dyDescent="0.2">
      <c r="A882" s="2"/>
      <c r="F882" s="2"/>
    </row>
    <row r="883" spans="1:6" x14ac:dyDescent="0.2">
      <c r="A883" s="2"/>
      <c r="F883" s="2"/>
    </row>
    <row r="884" spans="1:6" x14ac:dyDescent="0.2">
      <c r="A884" s="2"/>
      <c r="F884" s="2"/>
    </row>
    <row r="885" spans="1:6" x14ac:dyDescent="0.2">
      <c r="A885" s="2"/>
      <c r="F885" s="2"/>
    </row>
    <row r="886" spans="1:6" x14ac:dyDescent="0.2">
      <c r="A886" s="2"/>
      <c r="F886" s="2"/>
    </row>
    <row r="887" spans="1:6" x14ac:dyDescent="0.2">
      <c r="A887" s="2"/>
      <c r="F887" s="2"/>
    </row>
    <row r="888" spans="1:6" x14ac:dyDescent="0.2">
      <c r="A888" s="2"/>
      <c r="F888" s="2"/>
    </row>
    <row r="889" spans="1:6" x14ac:dyDescent="0.2">
      <c r="A889" s="2"/>
      <c r="F889" s="2"/>
    </row>
    <row r="890" spans="1:6" x14ac:dyDescent="0.2">
      <c r="A890" s="2"/>
      <c r="F890" s="2"/>
    </row>
    <row r="891" spans="1:6" x14ac:dyDescent="0.2">
      <c r="A891" s="2"/>
      <c r="F891" s="2"/>
    </row>
    <row r="892" spans="1:6" x14ac:dyDescent="0.2">
      <c r="A892" s="2"/>
      <c r="F892" s="2"/>
    </row>
    <row r="893" spans="1:6" x14ac:dyDescent="0.2">
      <c r="A893" s="2"/>
      <c r="F893" s="2"/>
    </row>
    <row r="894" spans="1:6" x14ac:dyDescent="0.2">
      <c r="A894" s="2"/>
      <c r="F894" s="2"/>
    </row>
    <row r="895" spans="1:6" x14ac:dyDescent="0.2">
      <c r="A895" s="2"/>
      <c r="F895" s="2"/>
    </row>
    <row r="896" spans="1:6" x14ac:dyDescent="0.2">
      <c r="A896" s="2"/>
      <c r="F896" s="2"/>
    </row>
    <row r="897" spans="1:6" x14ac:dyDescent="0.2">
      <c r="A897" s="2"/>
      <c r="F897" s="2"/>
    </row>
    <row r="898" spans="1:6" x14ac:dyDescent="0.2">
      <c r="A898" s="2"/>
      <c r="F898" s="2"/>
    </row>
    <row r="899" spans="1:6" x14ac:dyDescent="0.2">
      <c r="A899" s="2"/>
      <c r="F899" s="2"/>
    </row>
    <row r="900" spans="1:6" x14ac:dyDescent="0.2">
      <c r="A900" s="2"/>
      <c r="F900" s="2"/>
    </row>
    <row r="901" spans="1:6" x14ac:dyDescent="0.2">
      <c r="A901" s="2"/>
      <c r="F901" s="2"/>
    </row>
    <row r="902" spans="1:6" x14ac:dyDescent="0.2">
      <c r="A902" s="2"/>
      <c r="F902" s="2"/>
    </row>
    <row r="903" spans="1:6" x14ac:dyDescent="0.2">
      <c r="A903" s="2"/>
      <c r="F903" s="2"/>
    </row>
    <row r="904" spans="1:6" x14ac:dyDescent="0.2">
      <c r="A904" s="2"/>
      <c r="F904" s="2"/>
    </row>
    <row r="905" spans="1:6" x14ac:dyDescent="0.2">
      <c r="A905" s="2"/>
      <c r="F905" s="2"/>
    </row>
    <row r="906" spans="1:6" x14ac:dyDescent="0.2">
      <c r="A906" s="2"/>
      <c r="F906" s="2"/>
    </row>
    <row r="907" spans="1:6" x14ac:dyDescent="0.2">
      <c r="A907" s="2"/>
      <c r="F907" s="2"/>
    </row>
    <row r="908" spans="1:6" x14ac:dyDescent="0.2">
      <c r="A908" s="2"/>
      <c r="F908" s="2"/>
    </row>
    <row r="909" spans="1:6" x14ac:dyDescent="0.2">
      <c r="A909" s="2"/>
      <c r="F909" s="2"/>
    </row>
    <row r="910" spans="1:6" x14ac:dyDescent="0.2">
      <c r="A910" s="2"/>
      <c r="F910" s="2"/>
    </row>
    <row r="911" spans="1:6" x14ac:dyDescent="0.2">
      <c r="A911" s="2"/>
      <c r="F911" s="2"/>
    </row>
    <row r="912" spans="1:6" x14ac:dyDescent="0.2">
      <c r="A912" s="2"/>
      <c r="F912" s="2"/>
    </row>
    <row r="913" spans="1:6" x14ac:dyDescent="0.2">
      <c r="A913" s="2"/>
      <c r="F913" s="2"/>
    </row>
    <row r="914" spans="1:6" x14ac:dyDescent="0.2">
      <c r="A914" s="2"/>
      <c r="F914" s="2"/>
    </row>
    <row r="915" spans="1:6" x14ac:dyDescent="0.2">
      <c r="A915" s="2"/>
      <c r="F915" s="2"/>
    </row>
    <row r="916" spans="1:6" x14ac:dyDescent="0.2">
      <c r="A916" s="2"/>
      <c r="F916" s="2"/>
    </row>
    <row r="917" spans="1:6" x14ac:dyDescent="0.2">
      <c r="A917" s="2"/>
      <c r="F917" s="2"/>
    </row>
    <row r="918" spans="1:6" x14ac:dyDescent="0.2">
      <c r="A918" s="2"/>
      <c r="F918" s="2"/>
    </row>
    <row r="919" spans="1:6" x14ac:dyDescent="0.2">
      <c r="A919" s="2"/>
      <c r="F919" s="2"/>
    </row>
    <row r="920" spans="1:6" x14ac:dyDescent="0.2">
      <c r="A920" s="2"/>
      <c r="F920" s="2"/>
    </row>
    <row r="921" spans="1:6" x14ac:dyDescent="0.2">
      <c r="A921" s="2"/>
      <c r="F921" s="2"/>
    </row>
    <row r="922" spans="1:6" x14ac:dyDescent="0.2">
      <c r="A922" s="2"/>
      <c r="F922" s="2"/>
    </row>
    <row r="923" spans="1:6" x14ac:dyDescent="0.2">
      <c r="A923" s="2"/>
      <c r="F923" s="2"/>
    </row>
    <row r="924" spans="1:6" x14ac:dyDescent="0.2">
      <c r="A924" s="2"/>
      <c r="F924" s="2"/>
    </row>
    <row r="925" spans="1:6" x14ac:dyDescent="0.2">
      <c r="A925" s="2"/>
      <c r="F925" s="2"/>
    </row>
    <row r="926" spans="1:6" x14ac:dyDescent="0.2">
      <c r="A926" s="2"/>
      <c r="F926" s="2"/>
    </row>
    <row r="927" spans="1:6" x14ac:dyDescent="0.2">
      <c r="A927" s="2"/>
      <c r="F927" s="2"/>
    </row>
    <row r="928" spans="1:6" x14ac:dyDescent="0.2">
      <c r="A928" s="2"/>
      <c r="F928" s="2"/>
    </row>
    <row r="929" spans="1:6" x14ac:dyDescent="0.2">
      <c r="A929" s="2"/>
      <c r="F929" s="2"/>
    </row>
    <row r="930" spans="1:6" x14ac:dyDescent="0.2">
      <c r="A930" s="2"/>
      <c r="F930" s="2"/>
    </row>
    <row r="931" spans="1:6" x14ac:dyDescent="0.2">
      <c r="A931" s="2"/>
      <c r="F931" s="2"/>
    </row>
    <row r="932" spans="1:6" x14ac:dyDescent="0.2">
      <c r="A932" s="2"/>
      <c r="F932" s="2"/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83FDA6-7D4C-6540-A0B2-8BEDA9556A41}">
          <x14:formula1>
            <xm:f>seller!$B$2:$B$227</xm:f>
          </x14:formula1>
          <xm:sqref>F1:F514 F715 F712 F777:F1048576 F615:F634 F586:F587 F546:F569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3146-031B-4688-A5DE-5DABD294253F}">
  <dimension ref="A1:O94"/>
  <sheetViews>
    <sheetView topLeftCell="A71" workbookViewId="0">
      <selection activeCell="F94" sqref="F94"/>
    </sheetView>
  </sheetViews>
  <sheetFormatPr baseColWidth="10" defaultColWidth="8.83203125" defaultRowHeight="16" x14ac:dyDescent="0.2"/>
  <cols>
    <col min="2" max="2" width="18.1640625" bestFit="1" customWidth="1"/>
    <col min="3" max="3" width="11.1640625" bestFit="1" customWidth="1"/>
    <col min="4" max="5" width="11.6640625" bestFit="1" customWidth="1"/>
    <col min="6" max="6" width="17.6640625" bestFit="1" customWidth="1"/>
    <col min="7" max="10" width="11.1640625" customWidth="1"/>
    <col min="11" max="11" width="16" bestFit="1" customWidth="1"/>
    <col min="12" max="12" width="13.5" bestFit="1" customWidth="1"/>
    <col min="14" max="14" width="9.83203125" bestFit="1" customWidth="1"/>
    <col min="15" max="15" width="9.6640625" bestFit="1" customWidth="1"/>
  </cols>
  <sheetData>
    <row r="1" spans="1:15" x14ac:dyDescent="0.2">
      <c r="A1" s="44" t="s">
        <v>1079</v>
      </c>
      <c r="B1" s="44" t="s">
        <v>2181</v>
      </c>
      <c r="C1" s="44" t="s">
        <v>2183</v>
      </c>
      <c r="D1" s="44" t="s">
        <v>2184</v>
      </c>
      <c r="E1" s="44" t="s">
        <v>2185</v>
      </c>
      <c r="F1" s="44" t="s">
        <v>1080</v>
      </c>
      <c r="G1" s="44" t="s">
        <v>1081</v>
      </c>
      <c r="H1" s="44" t="s">
        <v>1082</v>
      </c>
      <c r="I1" s="44" t="s">
        <v>1083</v>
      </c>
      <c r="J1" s="44" t="s">
        <v>1084</v>
      </c>
      <c r="K1" s="44" t="s">
        <v>1085</v>
      </c>
      <c r="L1" s="44" t="s">
        <v>1086</v>
      </c>
      <c r="M1" s="44" t="s">
        <v>1087</v>
      </c>
      <c r="N1" s="44" t="s">
        <v>1088</v>
      </c>
      <c r="O1" s="44" t="s">
        <v>1089</v>
      </c>
    </row>
    <row r="2" spans="1:15" x14ac:dyDescent="0.2">
      <c r="B2" t="s">
        <v>2155</v>
      </c>
      <c r="C2">
        <v>8981738522</v>
      </c>
      <c r="F2" s="65"/>
      <c r="L2" t="s">
        <v>442</v>
      </c>
      <c r="N2" s="66"/>
      <c r="O2" s="66"/>
    </row>
    <row r="3" spans="1:15" x14ac:dyDescent="0.2">
      <c r="B3" t="s">
        <v>438</v>
      </c>
      <c r="C3">
        <v>9439700760</v>
      </c>
      <c r="F3" s="65"/>
      <c r="L3" t="s">
        <v>442</v>
      </c>
      <c r="N3" s="66"/>
      <c r="O3" s="66"/>
    </row>
    <row r="4" spans="1:15" x14ac:dyDescent="0.2">
      <c r="B4" t="s">
        <v>439</v>
      </c>
      <c r="C4">
        <v>9733062387</v>
      </c>
      <c r="F4" s="65"/>
      <c r="L4" t="s">
        <v>442</v>
      </c>
      <c r="N4" s="66"/>
      <c r="O4" s="66"/>
    </row>
    <row r="5" spans="1:15" x14ac:dyDescent="0.2">
      <c r="B5" t="s">
        <v>440</v>
      </c>
      <c r="C5">
        <v>9831621540</v>
      </c>
      <c r="F5" s="65"/>
      <c r="L5" t="s">
        <v>442</v>
      </c>
      <c r="N5" s="66"/>
      <c r="O5" s="66"/>
    </row>
    <row r="6" spans="1:15" x14ac:dyDescent="0.2">
      <c r="B6" t="s">
        <v>2156</v>
      </c>
      <c r="C6">
        <v>9681136796</v>
      </c>
      <c r="F6" s="65"/>
      <c r="L6" t="s">
        <v>442</v>
      </c>
      <c r="N6" s="66"/>
      <c r="O6" s="66"/>
    </row>
    <row r="7" spans="1:15" x14ac:dyDescent="0.2">
      <c r="B7" t="s">
        <v>2157</v>
      </c>
      <c r="C7">
        <v>8617781358</v>
      </c>
      <c r="F7" s="65"/>
      <c r="L7" t="s">
        <v>442</v>
      </c>
      <c r="N7" s="66"/>
      <c r="O7" s="66"/>
    </row>
    <row r="8" spans="1:15" x14ac:dyDescent="0.2">
      <c r="B8" t="s">
        <v>2158</v>
      </c>
      <c r="C8">
        <v>9163062385</v>
      </c>
      <c r="F8" s="65"/>
      <c r="L8" t="s">
        <v>442</v>
      </c>
      <c r="N8" s="66"/>
      <c r="O8" s="66"/>
    </row>
    <row r="9" spans="1:15" x14ac:dyDescent="0.2">
      <c r="B9" t="s">
        <v>2159</v>
      </c>
      <c r="C9">
        <v>7797998586</v>
      </c>
      <c r="F9" s="65"/>
      <c r="L9" t="s">
        <v>442</v>
      </c>
      <c r="N9" s="66"/>
      <c r="O9" s="66"/>
    </row>
    <row r="10" spans="1:15" x14ac:dyDescent="0.2">
      <c r="B10" t="s">
        <v>392</v>
      </c>
      <c r="C10">
        <v>9674697379</v>
      </c>
      <c r="F10" s="65"/>
      <c r="L10" t="s">
        <v>442</v>
      </c>
      <c r="N10" s="66"/>
      <c r="O10" s="66"/>
    </row>
    <row r="11" spans="1:15" x14ac:dyDescent="0.2">
      <c r="B11" t="s">
        <v>388</v>
      </c>
      <c r="C11">
        <v>8249193459</v>
      </c>
      <c r="F11" s="65"/>
      <c r="L11" t="s">
        <v>442</v>
      </c>
      <c r="N11" s="66"/>
      <c r="O11" s="66"/>
    </row>
    <row r="12" spans="1:15" x14ac:dyDescent="0.2">
      <c r="B12" t="s">
        <v>390</v>
      </c>
      <c r="C12">
        <v>6294214930</v>
      </c>
      <c r="F12" s="65"/>
      <c r="L12" t="s">
        <v>442</v>
      </c>
      <c r="N12" s="66"/>
      <c r="O12" s="66"/>
    </row>
    <row r="13" spans="1:15" x14ac:dyDescent="0.2">
      <c r="B13" t="s">
        <v>2160</v>
      </c>
      <c r="C13">
        <v>9830535369</v>
      </c>
      <c r="F13" s="65"/>
      <c r="L13" t="s">
        <v>442</v>
      </c>
      <c r="N13" s="66"/>
      <c r="O13" s="66"/>
    </row>
    <row r="14" spans="1:15" x14ac:dyDescent="0.2">
      <c r="B14" t="s">
        <v>391</v>
      </c>
      <c r="C14">
        <v>9569710072</v>
      </c>
      <c r="F14" s="65"/>
      <c r="L14" t="s">
        <v>442</v>
      </c>
      <c r="N14" s="66"/>
      <c r="O14" s="66"/>
    </row>
    <row r="15" spans="1:15" x14ac:dyDescent="0.2">
      <c r="B15" t="s">
        <v>387</v>
      </c>
      <c r="C15">
        <v>9748214354</v>
      </c>
      <c r="F15" s="65"/>
      <c r="L15" t="s">
        <v>442</v>
      </c>
      <c r="N15" s="66"/>
      <c r="O15" s="66"/>
    </row>
    <row r="16" spans="1:15" x14ac:dyDescent="0.2">
      <c r="B16" t="s">
        <v>2161</v>
      </c>
      <c r="C16">
        <v>6291848651</v>
      </c>
      <c r="F16" s="65"/>
      <c r="L16" t="s">
        <v>442</v>
      </c>
      <c r="N16" s="66"/>
      <c r="O16" s="66"/>
    </row>
    <row r="17" spans="2:15" x14ac:dyDescent="0.2">
      <c r="B17" t="s">
        <v>2162</v>
      </c>
      <c r="C17">
        <v>9331945495</v>
      </c>
      <c r="F17" s="65"/>
      <c r="L17" t="s">
        <v>442</v>
      </c>
      <c r="N17" s="66"/>
      <c r="O17" s="66"/>
    </row>
    <row r="18" spans="2:15" x14ac:dyDescent="0.2">
      <c r="B18" t="s">
        <v>2163</v>
      </c>
      <c r="C18">
        <v>7003788754</v>
      </c>
      <c r="F18" s="65"/>
      <c r="L18" t="s">
        <v>442</v>
      </c>
      <c r="N18" s="66"/>
      <c r="O18" s="66"/>
    </row>
    <row r="19" spans="2:15" x14ac:dyDescent="0.2">
      <c r="B19" t="s">
        <v>386</v>
      </c>
      <c r="C19">
        <v>8509298934</v>
      </c>
      <c r="F19" s="65"/>
      <c r="L19" t="s">
        <v>442</v>
      </c>
      <c r="N19" s="66"/>
      <c r="O19" s="66"/>
    </row>
    <row r="20" spans="2:15" x14ac:dyDescent="0.2">
      <c r="B20" t="s">
        <v>441</v>
      </c>
      <c r="C20">
        <v>9830814375</v>
      </c>
      <c r="F20" s="65"/>
      <c r="L20" t="s">
        <v>442</v>
      </c>
      <c r="N20" s="66"/>
      <c r="O20" s="66"/>
    </row>
    <row r="21" spans="2:15" x14ac:dyDescent="0.2">
      <c r="B21" t="s">
        <v>2164</v>
      </c>
      <c r="C21">
        <v>9163057252</v>
      </c>
      <c r="F21" s="65"/>
      <c r="L21" t="s">
        <v>442</v>
      </c>
      <c r="N21" s="66"/>
      <c r="O21" s="66"/>
    </row>
    <row r="22" spans="2:15" x14ac:dyDescent="0.2">
      <c r="B22" t="s">
        <v>2165</v>
      </c>
      <c r="C22">
        <v>8420222497</v>
      </c>
      <c r="F22" s="65"/>
      <c r="L22" t="s">
        <v>443</v>
      </c>
      <c r="N22" s="66"/>
      <c r="O22" s="66"/>
    </row>
    <row r="23" spans="2:15" x14ac:dyDescent="0.2">
      <c r="B23" t="s">
        <v>437</v>
      </c>
      <c r="C23">
        <v>9439695082</v>
      </c>
      <c r="F23" s="65"/>
      <c r="L23" t="s">
        <v>443</v>
      </c>
      <c r="N23" s="66"/>
      <c r="O23" s="66"/>
    </row>
    <row r="24" spans="2:15" x14ac:dyDescent="0.2">
      <c r="B24" t="s">
        <v>436</v>
      </c>
      <c r="C24">
        <v>9748627968</v>
      </c>
      <c r="F24" s="65"/>
      <c r="L24" t="s">
        <v>443</v>
      </c>
      <c r="N24" s="66"/>
      <c r="O24" s="66"/>
    </row>
    <row r="25" spans="2:15" x14ac:dyDescent="0.2">
      <c r="B25" t="s">
        <v>2166</v>
      </c>
      <c r="C25">
        <v>6291699283</v>
      </c>
      <c r="F25" s="65"/>
      <c r="L25" t="s">
        <v>443</v>
      </c>
      <c r="N25" s="66"/>
      <c r="O25" s="66"/>
    </row>
    <row r="26" spans="2:15" x14ac:dyDescent="0.2">
      <c r="B26" s="17" t="s">
        <v>444</v>
      </c>
      <c r="C26" s="17">
        <v>8296838692</v>
      </c>
      <c r="F26" s="65"/>
      <c r="L26" t="s">
        <v>446</v>
      </c>
      <c r="N26" s="66"/>
      <c r="O26" s="66"/>
    </row>
    <row r="27" spans="2:15" x14ac:dyDescent="0.2">
      <c r="B27" s="17" t="s">
        <v>2167</v>
      </c>
      <c r="C27" s="17">
        <v>9831707787</v>
      </c>
      <c r="F27" s="65"/>
      <c r="L27" t="s">
        <v>446</v>
      </c>
      <c r="N27" s="66"/>
      <c r="O27" s="66"/>
    </row>
    <row r="28" spans="2:15" x14ac:dyDescent="0.2">
      <c r="B28" s="17" t="s">
        <v>216</v>
      </c>
      <c r="C28" s="17">
        <v>9830797003</v>
      </c>
      <c r="F28" s="65"/>
      <c r="L28" t="s">
        <v>447</v>
      </c>
      <c r="N28" s="66"/>
      <c r="O28" s="66"/>
    </row>
    <row r="29" spans="2:15" x14ac:dyDescent="0.2">
      <c r="B29" s="17" t="s">
        <v>184</v>
      </c>
      <c r="C29" s="17">
        <v>7890544796</v>
      </c>
      <c r="F29" s="65"/>
      <c r="L29" t="s">
        <v>447</v>
      </c>
      <c r="N29" s="66"/>
      <c r="O29" s="66"/>
    </row>
    <row r="30" spans="2:15" x14ac:dyDescent="0.2">
      <c r="B30" s="17" t="s">
        <v>218</v>
      </c>
      <c r="C30" s="17">
        <v>9051782373</v>
      </c>
      <c r="F30" s="65"/>
      <c r="L30" t="s">
        <v>447</v>
      </c>
      <c r="N30" s="66"/>
      <c r="O30" s="66"/>
    </row>
    <row r="31" spans="2:15" x14ac:dyDescent="0.2">
      <c r="B31" s="17" t="s">
        <v>198</v>
      </c>
      <c r="C31" s="17"/>
      <c r="F31" s="65"/>
      <c r="L31" t="s">
        <v>446</v>
      </c>
      <c r="N31" s="66"/>
      <c r="O31" s="66"/>
    </row>
    <row r="32" spans="2:15" x14ac:dyDescent="0.2">
      <c r="B32" s="17" t="s">
        <v>445</v>
      </c>
      <c r="C32" s="17"/>
      <c r="F32" s="65"/>
      <c r="L32" t="s">
        <v>446</v>
      </c>
      <c r="N32" s="66"/>
      <c r="O32" s="66"/>
    </row>
    <row r="33" spans="2:15" x14ac:dyDescent="0.2">
      <c r="B33" s="17" t="s">
        <v>173</v>
      </c>
      <c r="C33" s="17">
        <v>7003116699</v>
      </c>
      <c r="F33" s="65"/>
      <c r="L33" t="s">
        <v>446</v>
      </c>
      <c r="N33" s="66"/>
      <c r="O33" s="66"/>
    </row>
    <row r="34" spans="2:15" x14ac:dyDescent="0.2">
      <c r="B34" s="17" t="s">
        <v>176</v>
      </c>
      <c r="C34" s="17"/>
      <c r="F34" s="65"/>
      <c r="L34" t="s">
        <v>446</v>
      </c>
      <c r="N34" s="66"/>
      <c r="O34" s="66"/>
    </row>
    <row r="35" spans="2:15" x14ac:dyDescent="0.2">
      <c r="B35" s="17" t="s">
        <v>2168</v>
      </c>
      <c r="C35" s="17">
        <v>9836108083</v>
      </c>
      <c r="F35" s="65"/>
      <c r="L35" t="s">
        <v>448</v>
      </c>
      <c r="N35" s="66"/>
      <c r="O35" s="66"/>
    </row>
    <row r="36" spans="2:15" x14ac:dyDescent="0.2">
      <c r="B36" s="17" t="s">
        <v>185</v>
      </c>
      <c r="C36" s="17">
        <v>7634029006</v>
      </c>
      <c r="F36" s="65"/>
      <c r="L36" t="s">
        <v>448</v>
      </c>
      <c r="N36" s="66"/>
      <c r="O36" s="66"/>
    </row>
    <row r="37" spans="2:15" x14ac:dyDescent="0.2">
      <c r="B37" s="17" t="s">
        <v>188</v>
      </c>
      <c r="C37" s="17">
        <v>9830949260</v>
      </c>
      <c r="F37" s="65"/>
      <c r="L37" t="s">
        <v>448</v>
      </c>
      <c r="N37" s="66"/>
      <c r="O37" s="66"/>
    </row>
    <row r="38" spans="2:15" x14ac:dyDescent="0.2">
      <c r="B38" s="17" t="s">
        <v>181</v>
      </c>
      <c r="C38" s="17">
        <v>9635923465</v>
      </c>
      <c r="F38" s="65"/>
      <c r="L38" t="s">
        <v>448</v>
      </c>
      <c r="N38" s="66"/>
      <c r="O38" s="66"/>
    </row>
    <row r="39" spans="2:15" x14ac:dyDescent="0.2">
      <c r="B39" s="17" t="s">
        <v>197</v>
      </c>
      <c r="C39" s="17">
        <v>9163136670</v>
      </c>
      <c r="F39" s="65"/>
      <c r="L39" t="s">
        <v>448</v>
      </c>
      <c r="N39" s="66"/>
      <c r="O39" s="66"/>
    </row>
    <row r="40" spans="2:15" x14ac:dyDescent="0.2">
      <c r="B40" s="17" t="s">
        <v>175</v>
      </c>
      <c r="C40" s="17">
        <v>8583041496</v>
      </c>
      <c r="F40" s="65"/>
      <c r="L40" t="s">
        <v>448</v>
      </c>
      <c r="N40" s="66"/>
      <c r="O40" s="66"/>
    </row>
    <row r="41" spans="2:15" x14ac:dyDescent="0.2">
      <c r="B41" s="17" t="s">
        <v>186</v>
      </c>
      <c r="C41" s="17">
        <v>9051371731</v>
      </c>
      <c r="F41" s="65"/>
      <c r="L41" t="s">
        <v>447</v>
      </c>
      <c r="N41" s="66"/>
      <c r="O41" s="66"/>
    </row>
    <row r="42" spans="2:15" x14ac:dyDescent="0.2">
      <c r="B42" s="17" t="s">
        <v>2169</v>
      </c>
      <c r="C42" s="17"/>
      <c r="F42" s="65"/>
      <c r="L42" t="s">
        <v>447</v>
      </c>
      <c r="N42" s="66"/>
      <c r="O42" s="66"/>
    </row>
    <row r="43" spans="2:15" x14ac:dyDescent="0.2">
      <c r="B43" s="17" t="s">
        <v>182</v>
      </c>
      <c r="C43" s="17">
        <v>7044253238</v>
      </c>
      <c r="F43" s="65"/>
      <c r="L43" t="s">
        <v>449</v>
      </c>
      <c r="N43" s="66"/>
      <c r="O43" s="66"/>
    </row>
    <row r="44" spans="2:15" x14ac:dyDescent="0.2">
      <c r="B44" s="17" t="s">
        <v>165</v>
      </c>
      <c r="C44" s="17">
        <v>8442833958</v>
      </c>
      <c r="F44" s="65"/>
      <c r="L44" t="s">
        <v>449</v>
      </c>
      <c r="N44" s="66"/>
      <c r="O44" s="66"/>
    </row>
    <row r="45" spans="2:15" x14ac:dyDescent="0.2">
      <c r="B45" s="17" t="s">
        <v>180</v>
      </c>
      <c r="C45" s="17">
        <v>8910436069</v>
      </c>
      <c r="F45" s="65"/>
      <c r="L45" t="s">
        <v>449</v>
      </c>
      <c r="N45" s="66"/>
      <c r="O45" s="66"/>
    </row>
    <row r="46" spans="2:15" x14ac:dyDescent="0.2">
      <c r="B46" s="17" t="s">
        <v>276</v>
      </c>
      <c r="C46" s="17">
        <v>9955480273</v>
      </c>
      <c r="F46" s="65"/>
      <c r="L46" t="s">
        <v>451</v>
      </c>
      <c r="N46" s="66"/>
      <c r="O46" s="66"/>
    </row>
    <row r="47" spans="2:15" x14ac:dyDescent="0.2">
      <c r="B47" s="17" t="s">
        <v>199</v>
      </c>
      <c r="C47" s="17">
        <v>8777828231</v>
      </c>
      <c r="F47" s="65"/>
      <c r="L47" t="s">
        <v>451</v>
      </c>
      <c r="N47" s="66"/>
      <c r="O47" s="66"/>
    </row>
    <row r="48" spans="2:15" x14ac:dyDescent="0.2">
      <c r="B48" s="17" t="s">
        <v>452</v>
      </c>
      <c r="C48" s="17">
        <v>9836694016</v>
      </c>
      <c r="F48" s="65"/>
      <c r="L48" t="s">
        <v>451</v>
      </c>
      <c r="N48" s="66"/>
      <c r="O48" s="66"/>
    </row>
    <row r="49" spans="2:15" x14ac:dyDescent="0.2">
      <c r="B49" s="17" t="s">
        <v>274</v>
      </c>
      <c r="C49" s="17">
        <v>7044062722</v>
      </c>
      <c r="F49" s="65"/>
      <c r="L49" t="s">
        <v>451</v>
      </c>
      <c r="N49" s="66"/>
      <c r="O49" s="66"/>
    </row>
    <row r="50" spans="2:15" x14ac:dyDescent="0.2">
      <c r="B50" s="17" t="s">
        <v>273</v>
      </c>
      <c r="C50" s="17">
        <v>8697039702</v>
      </c>
      <c r="F50" s="65"/>
      <c r="L50" t="s">
        <v>451</v>
      </c>
      <c r="N50" s="66"/>
      <c r="O50" s="66"/>
    </row>
    <row r="51" spans="2:15" x14ac:dyDescent="0.2">
      <c r="B51" s="17" t="s">
        <v>2170</v>
      </c>
      <c r="C51" s="17">
        <v>8617204358</v>
      </c>
      <c r="F51" s="65"/>
      <c r="L51" t="s">
        <v>451</v>
      </c>
      <c r="N51" s="66"/>
      <c r="O51" s="66"/>
    </row>
    <row r="52" spans="2:15" x14ac:dyDescent="0.2">
      <c r="B52" s="17" t="s">
        <v>270</v>
      </c>
      <c r="C52" s="17">
        <v>8622014282</v>
      </c>
      <c r="F52" s="65"/>
      <c r="L52" t="s">
        <v>451</v>
      </c>
      <c r="N52" s="66"/>
      <c r="O52" s="66"/>
    </row>
    <row r="53" spans="2:15" x14ac:dyDescent="0.2">
      <c r="B53" s="17" t="s">
        <v>2171</v>
      </c>
      <c r="C53" s="17">
        <v>9331063544</v>
      </c>
      <c r="F53" s="65"/>
      <c r="L53" t="s">
        <v>451</v>
      </c>
      <c r="N53" s="66"/>
      <c r="O53" s="66"/>
    </row>
    <row r="54" spans="2:15" x14ac:dyDescent="0.2">
      <c r="B54" s="17" t="s">
        <v>376</v>
      </c>
      <c r="C54" s="17">
        <v>7439603788</v>
      </c>
      <c r="F54" s="65"/>
      <c r="L54" t="s">
        <v>453</v>
      </c>
      <c r="N54" s="66"/>
      <c r="O54" s="66"/>
    </row>
    <row r="55" spans="2:15" x14ac:dyDescent="0.2">
      <c r="B55" s="17" t="s">
        <v>2172</v>
      </c>
      <c r="C55" s="17">
        <v>9831042037</v>
      </c>
      <c r="F55" s="65"/>
      <c r="L55" t="s">
        <v>453</v>
      </c>
      <c r="N55" s="66"/>
      <c r="O55" s="66"/>
    </row>
    <row r="56" spans="2:15" x14ac:dyDescent="0.2">
      <c r="B56" s="17" t="s">
        <v>454</v>
      </c>
      <c r="C56" s="67">
        <v>9836133721</v>
      </c>
      <c r="F56" s="65"/>
      <c r="L56" t="s">
        <v>455</v>
      </c>
      <c r="N56" s="66"/>
      <c r="O56" s="66"/>
    </row>
    <row r="57" spans="2:15" x14ac:dyDescent="0.2">
      <c r="B57" s="17" t="s">
        <v>2173</v>
      </c>
      <c r="C57" s="17">
        <v>9903200953</v>
      </c>
      <c r="F57" s="65"/>
      <c r="L57" t="s">
        <v>455</v>
      </c>
      <c r="N57" s="66"/>
      <c r="O57" s="66"/>
    </row>
    <row r="58" spans="2:15" x14ac:dyDescent="0.2">
      <c r="B58" s="17" t="s">
        <v>2174</v>
      </c>
      <c r="C58" s="17">
        <v>9830666322</v>
      </c>
      <c r="F58" s="65"/>
      <c r="L58" t="s">
        <v>455</v>
      </c>
      <c r="N58" s="66"/>
      <c r="O58" s="66"/>
    </row>
    <row r="59" spans="2:15" x14ac:dyDescent="0.2">
      <c r="B59" s="17" t="s">
        <v>324</v>
      </c>
      <c r="C59" s="17">
        <v>9038469264</v>
      </c>
      <c r="F59" s="65"/>
      <c r="L59" t="s">
        <v>455</v>
      </c>
      <c r="N59" s="66"/>
      <c r="O59" s="66"/>
    </row>
    <row r="60" spans="2:15" x14ac:dyDescent="0.2">
      <c r="B60" s="17" t="s">
        <v>328</v>
      </c>
      <c r="C60" s="17">
        <v>9831464436</v>
      </c>
      <c r="F60" s="65"/>
      <c r="L60" t="s">
        <v>455</v>
      </c>
      <c r="N60" s="66"/>
      <c r="O60" s="66"/>
    </row>
    <row r="61" spans="2:15" x14ac:dyDescent="0.2">
      <c r="B61" s="17" t="s">
        <v>329</v>
      </c>
      <c r="C61" s="17">
        <v>9674221096</v>
      </c>
      <c r="F61" s="65"/>
      <c r="L61" t="s">
        <v>455</v>
      </c>
      <c r="N61" s="66"/>
      <c r="O61" s="66"/>
    </row>
    <row r="62" spans="2:15" x14ac:dyDescent="0.2">
      <c r="B62" s="17" t="s">
        <v>320</v>
      </c>
      <c r="C62" s="17">
        <v>9800744309</v>
      </c>
      <c r="F62" s="65"/>
      <c r="L62" t="s">
        <v>455</v>
      </c>
      <c r="N62" s="66"/>
      <c r="O62" s="66"/>
    </row>
    <row r="63" spans="2:15" x14ac:dyDescent="0.2">
      <c r="B63" s="17" t="s">
        <v>425</v>
      </c>
      <c r="C63" s="17">
        <v>9474451123</v>
      </c>
      <c r="F63" s="65"/>
      <c r="L63" t="s">
        <v>456</v>
      </c>
      <c r="N63" s="66"/>
      <c r="O63" s="66"/>
    </row>
    <row r="64" spans="2:15" x14ac:dyDescent="0.2">
      <c r="B64" s="17" t="s">
        <v>457</v>
      </c>
      <c r="C64" s="17">
        <v>9831765127</v>
      </c>
      <c r="F64" s="65"/>
      <c r="L64" t="s">
        <v>456</v>
      </c>
      <c r="N64" s="66"/>
      <c r="O64" s="66"/>
    </row>
    <row r="65" spans="2:15" x14ac:dyDescent="0.2">
      <c r="B65" s="17" t="s">
        <v>497</v>
      </c>
      <c r="C65" s="17">
        <v>9734439705</v>
      </c>
      <c r="F65" s="65"/>
      <c r="L65" t="s">
        <v>498</v>
      </c>
      <c r="N65" s="66"/>
      <c r="O65" s="66"/>
    </row>
    <row r="66" spans="2:15" x14ac:dyDescent="0.2">
      <c r="B66" s="17" t="s">
        <v>2175</v>
      </c>
      <c r="C66" s="17">
        <v>9432813591</v>
      </c>
      <c r="F66" s="65"/>
      <c r="L66" t="s">
        <v>498</v>
      </c>
      <c r="N66" s="66"/>
      <c r="O66" s="66"/>
    </row>
    <row r="67" spans="2:15" x14ac:dyDescent="0.2">
      <c r="B67" s="17" t="s">
        <v>2176</v>
      </c>
      <c r="C67" s="17">
        <v>8583058902</v>
      </c>
      <c r="F67" s="65"/>
      <c r="L67" t="s">
        <v>498</v>
      </c>
      <c r="N67" s="66"/>
      <c r="O67" s="66"/>
    </row>
    <row r="68" spans="2:15" x14ac:dyDescent="0.2">
      <c r="B68" s="17" t="s">
        <v>2177</v>
      </c>
      <c r="C68" s="17">
        <v>7980241940</v>
      </c>
      <c r="F68" s="65"/>
      <c r="L68" t="s">
        <v>498</v>
      </c>
      <c r="N68" s="66"/>
      <c r="O68" s="66"/>
    </row>
    <row r="69" spans="2:15" x14ac:dyDescent="0.2">
      <c r="B69" s="17" t="s">
        <v>2178</v>
      </c>
      <c r="C69" s="17">
        <v>7278256428</v>
      </c>
      <c r="F69" s="65"/>
      <c r="L69" t="s">
        <v>498</v>
      </c>
      <c r="N69" s="66"/>
      <c r="O69" s="66"/>
    </row>
    <row r="70" spans="2:15" x14ac:dyDescent="0.2">
      <c r="B70" s="17" t="s">
        <v>515</v>
      </c>
      <c r="C70" s="17">
        <v>9830567398</v>
      </c>
      <c r="F70" s="65"/>
      <c r="L70" t="s">
        <v>498</v>
      </c>
      <c r="N70" s="66"/>
      <c r="O70" s="66"/>
    </row>
    <row r="71" spans="2:15" x14ac:dyDescent="0.2">
      <c r="B71" s="17" t="s">
        <v>502</v>
      </c>
      <c r="C71" s="17">
        <v>7980859343</v>
      </c>
      <c r="F71" s="65"/>
      <c r="L71" t="s">
        <v>498</v>
      </c>
      <c r="N71" s="66"/>
      <c r="O71" s="66"/>
    </row>
    <row r="72" spans="2:15" x14ac:dyDescent="0.2">
      <c r="B72" s="17" t="s">
        <v>503</v>
      </c>
      <c r="C72" s="17">
        <v>7016444705</v>
      </c>
      <c r="F72" s="65"/>
      <c r="L72" t="s">
        <v>455</v>
      </c>
      <c r="N72" s="66"/>
      <c r="O72" s="66"/>
    </row>
    <row r="73" spans="2:15" x14ac:dyDescent="0.2">
      <c r="B73" s="17" t="s">
        <v>516</v>
      </c>
      <c r="C73" s="17">
        <v>8910988983</v>
      </c>
      <c r="F73" s="65"/>
      <c r="L73" t="s">
        <v>455</v>
      </c>
      <c r="N73" s="66"/>
      <c r="O73" s="66"/>
    </row>
    <row r="74" spans="2:15" x14ac:dyDescent="0.2">
      <c r="B74" s="17" t="s">
        <v>513</v>
      </c>
      <c r="C74" s="17">
        <v>9874143405</v>
      </c>
      <c r="F74" s="65"/>
      <c r="L74" t="s">
        <v>455</v>
      </c>
      <c r="N74" s="66"/>
      <c r="O74" s="66"/>
    </row>
    <row r="75" spans="2:15" x14ac:dyDescent="0.2">
      <c r="B75" s="17" t="s">
        <v>2179</v>
      </c>
      <c r="C75" s="17">
        <v>9836535057</v>
      </c>
      <c r="F75" s="65"/>
      <c r="L75" t="s">
        <v>455</v>
      </c>
      <c r="N75" s="66"/>
      <c r="O75" s="66"/>
    </row>
    <row r="76" spans="2:15" x14ac:dyDescent="0.2">
      <c r="B76" s="17" t="s">
        <v>509</v>
      </c>
      <c r="C76" s="17">
        <v>9874777716</v>
      </c>
      <c r="F76" s="65"/>
      <c r="L76" t="s">
        <v>455</v>
      </c>
      <c r="N76" s="66"/>
      <c r="O76" s="66"/>
    </row>
    <row r="77" spans="2:15" x14ac:dyDescent="0.2">
      <c r="B77" s="17" t="s">
        <v>504</v>
      </c>
      <c r="C77" s="17">
        <v>7003067282</v>
      </c>
      <c r="F77" s="65"/>
      <c r="L77" t="s">
        <v>455</v>
      </c>
      <c r="N77" s="66"/>
      <c r="O77" s="66"/>
    </row>
    <row r="78" spans="2:15" x14ac:dyDescent="0.2">
      <c r="B78" s="17" t="s">
        <v>508</v>
      </c>
      <c r="C78" s="17">
        <v>9973356792</v>
      </c>
      <c r="F78" s="65"/>
      <c r="L78" t="s">
        <v>455</v>
      </c>
      <c r="N78" s="66"/>
      <c r="O78" s="66"/>
    </row>
    <row r="79" spans="2:15" x14ac:dyDescent="0.2">
      <c r="B79" s="17" t="s">
        <v>517</v>
      </c>
      <c r="C79" s="17">
        <v>9831967595</v>
      </c>
      <c r="F79" s="65"/>
      <c r="L79" t="s">
        <v>455</v>
      </c>
      <c r="N79" s="66"/>
      <c r="O79" s="66"/>
    </row>
    <row r="80" spans="2:15" x14ac:dyDescent="0.2">
      <c r="B80" s="17" t="s">
        <v>507</v>
      </c>
      <c r="C80" s="17">
        <v>9830407355</v>
      </c>
      <c r="F80" s="65"/>
      <c r="L80" t="s">
        <v>455</v>
      </c>
      <c r="N80" s="66"/>
      <c r="O80" s="66"/>
    </row>
    <row r="81" spans="2:15" x14ac:dyDescent="0.2">
      <c r="B81" s="17" t="s">
        <v>542</v>
      </c>
      <c r="C81" s="17">
        <v>9073361733</v>
      </c>
      <c r="F81" s="65"/>
      <c r="L81" t="s">
        <v>557</v>
      </c>
      <c r="N81" s="66"/>
      <c r="O81" s="66"/>
    </row>
    <row r="82" spans="2:15" x14ac:dyDescent="0.2">
      <c r="B82" s="17" t="s">
        <v>543</v>
      </c>
      <c r="C82" s="17">
        <v>9831940928</v>
      </c>
      <c r="F82" s="65"/>
      <c r="L82" t="s">
        <v>557</v>
      </c>
      <c r="N82" s="66"/>
      <c r="O82" s="66"/>
    </row>
    <row r="83" spans="2:15" x14ac:dyDescent="0.2">
      <c r="B83" s="17" t="s">
        <v>2180</v>
      </c>
      <c r="C83" s="17">
        <v>9804904300</v>
      </c>
      <c r="F83" s="65"/>
      <c r="L83" t="s">
        <v>557</v>
      </c>
      <c r="N83" s="66"/>
      <c r="O83" s="66"/>
    </row>
    <row r="84" spans="2:15" x14ac:dyDescent="0.2">
      <c r="B84" s="17" t="s">
        <v>545</v>
      </c>
      <c r="C84" s="17">
        <v>8670197896</v>
      </c>
      <c r="F84" s="65"/>
      <c r="L84" t="s">
        <v>557</v>
      </c>
      <c r="N84" s="66"/>
      <c r="O84" s="66"/>
    </row>
    <row r="85" spans="2:15" x14ac:dyDescent="0.2">
      <c r="B85" s="17" t="s">
        <v>558</v>
      </c>
      <c r="C85" s="17">
        <v>7003974264</v>
      </c>
      <c r="F85" s="65"/>
      <c r="L85" t="s">
        <v>557</v>
      </c>
      <c r="N85" s="66"/>
      <c r="O85" s="66"/>
    </row>
    <row r="86" spans="2:15" x14ac:dyDescent="0.2">
      <c r="B86" s="17" t="s">
        <v>546</v>
      </c>
      <c r="C86" s="17">
        <v>9474484914</v>
      </c>
      <c r="F86" s="65"/>
      <c r="L86" t="s">
        <v>557</v>
      </c>
      <c r="N86" s="66"/>
      <c r="O86" s="66"/>
    </row>
    <row r="87" spans="2:15" x14ac:dyDescent="0.2">
      <c r="B87" s="17" t="s">
        <v>559</v>
      </c>
      <c r="C87" s="17">
        <v>9836220047</v>
      </c>
      <c r="F87" s="65"/>
      <c r="L87" t="s">
        <v>557</v>
      </c>
      <c r="N87" s="66"/>
      <c r="O87" s="66"/>
    </row>
    <row r="88" spans="2:15" x14ac:dyDescent="0.2">
      <c r="B88" s="17" t="s">
        <v>560</v>
      </c>
      <c r="C88" s="17">
        <v>8420463190</v>
      </c>
      <c r="F88" s="65"/>
      <c r="L88" t="s">
        <v>557</v>
      </c>
      <c r="N88" s="66"/>
      <c r="O88" s="66"/>
    </row>
    <row r="89" spans="2:15" x14ac:dyDescent="0.2">
      <c r="B89" s="17" t="s">
        <v>549</v>
      </c>
      <c r="C89" s="17">
        <v>9830226773</v>
      </c>
      <c r="F89" s="65"/>
      <c r="L89" t="s">
        <v>557</v>
      </c>
      <c r="N89" s="66"/>
      <c r="O89" s="66"/>
    </row>
    <row r="90" spans="2:15" x14ac:dyDescent="0.2">
      <c r="B90" s="17" t="s">
        <v>551</v>
      </c>
      <c r="C90" s="17">
        <v>9836765570</v>
      </c>
      <c r="F90" s="65"/>
      <c r="L90" t="s">
        <v>557</v>
      </c>
      <c r="N90" s="66"/>
      <c r="O90" s="66"/>
    </row>
    <row r="91" spans="2:15" x14ac:dyDescent="0.2">
      <c r="B91" s="17" t="s">
        <v>553</v>
      </c>
      <c r="C91" s="17">
        <v>9903062583</v>
      </c>
      <c r="F91" s="65"/>
      <c r="L91" t="s">
        <v>557</v>
      </c>
      <c r="N91" s="66"/>
      <c r="O91" s="66"/>
    </row>
    <row r="92" spans="2:15" x14ac:dyDescent="0.2">
      <c r="B92" s="17" t="s">
        <v>554</v>
      </c>
      <c r="C92" s="17">
        <v>6291861726</v>
      </c>
      <c r="F92" s="65"/>
      <c r="L92" t="s">
        <v>557</v>
      </c>
      <c r="N92" s="66"/>
      <c r="O92" s="66"/>
    </row>
    <row r="93" spans="2:15" x14ac:dyDescent="0.2">
      <c r="B93" s="17" t="s">
        <v>555</v>
      </c>
      <c r="C93" s="17">
        <v>9804236367</v>
      </c>
      <c r="F93" s="65"/>
      <c r="L93" t="s">
        <v>557</v>
      </c>
      <c r="N93" s="66"/>
      <c r="O93" s="66"/>
    </row>
    <row r="94" spans="2:15" x14ac:dyDescent="0.2">
      <c r="B94" s="17" t="s">
        <v>556</v>
      </c>
      <c r="C94" s="17">
        <v>7003208782</v>
      </c>
      <c r="F94" s="65"/>
      <c r="L94" t="s">
        <v>557</v>
      </c>
      <c r="N94" s="66"/>
      <c r="O94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03C7-27BA-4758-A6EC-2A86D2C36829}">
  <dimension ref="A2:C6"/>
  <sheetViews>
    <sheetView workbookViewId="0">
      <selection activeCell="D8" sqref="D8"/>
    </sheetView>
  </sheetViews>
  <sheetFormatPr baseColWidth="10" defaultColWidth="8.83203125" defaultRowHeight="16" x14ac:dyDescent="0.2"/>
  <cols>
    <col min="1" max="1" width="9.83203125" bestFit="1" customWidth="1"/>
    <col min="2" max="2" width="6.5" bestFit="1" customWidth="1"/>
  </cols>
  <sheetData>
    <row r="2" spans="1:3" x14ac:dyDescent="0.2">
      <c r="A2" s="10"/>
      <c r="B2" s="36"/>
      <c r="C2" s="36"/>
    </row>
    <row r="3" spans="1:3" x14ac:dyDescent="0.2">
      <c r="A3" s="10"/>
    </row>
    <row r="4" spans="1:3" x14ac:dyDescent="0.2">
      <c r="A4" s="10"/>
    </row>
    <row r="5" spans="1:3" x14ac:dyDescent="0.2">
      <c r="A5" s="38"/>
    </row>
    <row r="6" spans="1:3" x14ac:dyDescent="0.2">
      <c r="A6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CAF0-1371-4E42-9E5C-65572E03C5E5}">
  <dimension ref="A1:N25"/>
  <sheetViews>
    <sheetView tabSelected="1" zoomScale="143" workbookViewId="0">
      <selection activeCell="A17" sqref="A17"/>
    </sheetView>
  </sheetViews>
  <sheetFormatPr baseColWidth="10" defaultRowHeight="16" x14ac:dyDescent="0.2"/>
  <cols>
    <col min="1" max="1" width="44.5" bestFit="1" customWidth="1"/>
    <col min="2" max="2" width="15.5" bestFit="1" customWidth="1"/>
    <col min="3" max="4" width="11.1640625" bestFit="1" customWidth="1"/>
    <col min="5" max="5" width="9.33203125" bestFit="1" customWidth="1"/>
    <col min="6" max="6" width="9.33203125" customWidth="1"/>
    <col min="7" max="7" width="61.6640625" bestFit="1" customWidth="1"/>
    <col min="8" max="8" width="52.83203125" bestFit="1" customWidth="1"/>
    <col min="9" max="9" width="4.1640625" bestFit="1" customWidth="1"/>
    <col min="10" max="11" width="4.1640625" customWidth="1"/>
    <col min="12" max="12" width="16.6640625" bestFit="1" customWidth="1"/>
    <col min="13" max="13" width="31.33203125" bestFit="1" customWidth="1"/>
    <col min="14" max="14" width="34.1640625" bestFit="1" customWidth="1"/>
  </cols>
  <sheetData>
    <row r="1" spans="1:14" x14ac:dyDescent="0.2">
      <c r="A1" t="s">
        <v>1090</v>
      </c>
      <c r="B1" t="s">
        <v>2182</v>
      </c>
      <c r="C1" t="s">
        <v>2183</v>
      </c>
      <c r="D1" t="s">
        <v>2184</v>
      </c>
      <c r="E1" t="s">
        <v>2185</v>
      </c>
      <c r="F1" t="s">
        <v>1080</v>
      </c>
      <c r="G1" t="s">
        <v>1081</v>
      </c>
      <c r="H1" t="s">
        <v>1091</v>
      </c>
      <c r="I1" t="s">
        <v>1082</v>
      </c>
      <c r="J1" t="s">
        <v>1083</v>
      </c>
      <c r="K1" t="s">
        <v>1084</v>
      </c>
      <c r="L1" t="s">
        <v>1092</v>
      </c>
      <c r="M1" t="s">
        <v>1093</v>
      </c>
      <c r="N1" t="s">
        <v>1087</v>
      </c>
    </row>
    <row r="2" spans="1:14" x14ac:dyDescent="0.2">
      <c r="A2" t="s">
        <v>0</v>
      </c>
      <c r="C2">
        <v>8583075575</v>
      </c>
      <c r="D2">
        <v>9163338500</v>
      </c>
      <c r="G2" t="s">
        <v>1</v>
      </c>
    </row>
    <row r="3" spans="1:14" x14ac:dyDescent="0.2">
      <c r="A3" t="s">
        <v>2</v>
      </c>
      <c r="C3">
        <v>8910429158</v>
      </c>
      <c r="D3">
        <v>9875352598</v>
      </c>
      <c r="G3" t="s">
        <v>27</v>
      </c>
      <c r="H3" t="s">
        <v>3</v>
      </c>
    </row>
    <row r="4" spans="1:14" x14ac:dyDescent="0.2">
      <c r="A4" t="s">
        <v>4</v>
      </c>
      <c r="C4">
        <v>9339543013</v>
      </c>
      <c r="D4">
        <v>9831141481</v>
      </c>
      <c r="G4" t="s">
        <v>5</v>
      </c>
      <c r="M4" t="s">
        <v>28</v>
      </c>
    </row>
    <row r="5" spans="1:14" x14ac:dyDescent="0.2">
      <c r="A5" t="s">
        <v>6</v>
      </c>
      <c r="C5">
        <v>9007514155</v>
      </c>
      <c r="D5">
        <v>8370838601</v>
      </c>
      <c r="G5" t="s">
        <v>8</v>
      </c>
      <c r="H5" t="s">
        <v>9</v>
      </c>
      <c r="L5">
        <v>5000</v>
      </c>
      <c r="M5" t="s">
        <v>29</v>
      </c>
    </row>
    <row r="6" spans="1:14" x14ac:dyDescent="0.2">
      <c r="A6" t="s">
        <v>11</v>
      </c>
      <c r="C6">
        <v>8910547566</v>
      </c>
      <c r="D6">
        <v>9123632189</v>
      </c>
      <c r="G6" t="s">
        <v>12</v>
      </c>
      <c r="L6">
        <v>3000</v>
      </c>
      <c r="M6" t="s">
        <v>30</v>
      </c>
    </row>
    <row r="7" spans="1:14" x14ac:dyDescent="0.2">
      <c r="A7" t="s">
        <v>31</v>
      </c>
      <c r="C7">
        <v>8583922908</v>
      </c>
      <c r="D7">
        <v>9830082180</v>
      </c>
      <c r="G7" t="s">
        <v>32</v>
      </c>
      <c r="H7" t="s">
        <v>13</v>
      </c>
      <c r="M7" t="s">
        <v>14</v>
      </c>
    </row>
    <row r="8" spans="1:14" x14ac:dyDescent="0.2">
      <c r="A8" t="s">
        <v>33</v>
      </c>
      <c r="C8">
        <v>8337048137</v>
      </c>
      <c r="D8">
        <v>6292333700</v>
      </c>
      <c r="G8" t="s">
        <v>15</v>
      </c>
      <c r="H8" t="s">
        <v>34</v>
      </c>
      <c r="L8" t="s">
        <v>16</v>
      </c>
      <c r="M8" t="s">
        <v>17</v>
      </c>
    </row>
    <row r="9" spans="1:14" x14ac:dyDescent="0.2">
      <c r="A9" t="s">
        <v>35</v>
      </c>
      <c r="C9">
        <v>9830808296</v>
      </c>
      <c r="D9">
        <v>7980724031</v>
      </c>
      <c r="G9" t="s">
        <v>18</v>
      </c>
      <c r="H9" t="s">
        <v>19</v>
      </c>
      <c r="M9" t="s">
        <v>36</v>
      </c>
    </row>
    <row r="10" spans="1:14" x14ac:dyDescent="0.2">
      <c r="A10" t="s">
        <v>20</v>
      </c>
      <c r="C10">
        <v>9313801946</v>
      </c>
      <c r="D10">
        <v>6357099969</v>
      </c>
      <c r="G10" t="s">
        <v>21</v>
      </c>
    </row>
    <row r="11" spans="1:14" x14ac:dyDescent="0.2">
      <c r="A11" t="s">
        <v>22</v>
      </c>
      <c r="C11">
        <v>7567617394</v>
      </c>
      <c r="D11">
        <v>9687002692</v>
      </c>
      <c r="G11" t="s">
        <v>21</v>
      </c>
      <c r="N11" t="s">
        <v>23</v>
      </c>
    </row>
    <row r="12" spans="1:14" x14ac:dyDescent="0.2">
      <c r="A12" t="s">
        <v>24</v>
      </c>
      <c r="C12">
        <v>9051136072</v>
      </c>
      <c r="D12">
        <v>9830849110</v>
      </c>
      <c r="G12" t="s">
        <v>25</v>
      </c>
    </row>
    <row r="13" spans="1:14" x14ac:dyDescent="0.2">
      <c r="A13" t="s">
        <v>75</v>
      </c>
    </row>
    <row r="14" spans="1:14" x14ac:dyDescent="0.2">
      <c r="A14" t="s">
        <v>237</v>
      </c>
      <c r="G14" t="s">
        <v>238</v>
      </c>
      <c r="M14" t="s">
        <v>239</v>
      </c>
    </row>
    <row r="15" spans="1:14" x14ac:dyDescent="0.2">
      <c r="A15" t="s">
        <v>300</v>
      </c>
      <c r="C15">
        <v>7980626679</v>
      </c>
      <c r="G15" t="s">
        <v>301</v>
      </c>
    </row>
    <row r="16" spans="1:14" x14ac:dyDescent="0.2">
      <c r="A16" t="s">
        <v>395</v>
      </c>
      <c r="C16">
        <v>9434343491</v>
      </c>
      <c r="D16">
        <v>9153535351</v>
      </c>
      <c r="G16" t="s">
        <v>396</v>
      </c>
    </row>
    <row r="17" spans="1:14" x14ac:dyDescent="0.2">
      <c r="A17" t="s">
        <v>463</v>
      </c>
      <c r="C17">
        <v>877351879</v>
      </c>
      <c r="D17">
        <v>7003462234</v>
      </c>
      <c r="G17" t="s">
        <v>464</v>
      </c>
    </row>
    <row r="18" spans="1:14" x14ac:dyDescent="0.2">
      <c r="A18" t="s">
        <v>485</v>
      </c>
      <c r="C18">
        <v>9476263474</v>
      </c>
      <c r="G18" t="s">
        <v>487</v>
      </c>
    </row>
    <row r="19" spans="1:14" x14ac:dyDescent="0.2">
      <c r="A19" t="s">
        <v>566</v>
      </c>
      <c r="C19">
        <v>9874452973</v>
      </c>
      <c r="G19" t="s">
        <v>567</v>
      </c>
    </row>
    <row r="20" spans="1:14" x14ac:dyDescent="0.2">
      <c r="A20" t="s">
        <v>579</v>
      </c>
      <c r="C20">
        <v>9163244658</v>
      </c>
      <c r="G20" t="s">
        <v>580</v>
      </c>
      <c r="H20" t="s">
        <v>581</v>
      </c>
    </row>
    <row r="21" spans="1:14" x14ac:dyDescent="0.2">
      <c r="A21" t="s">
        <v>814</v>
      </c>
      <c r="C21">
        <v>9836374668</v>
      </c>
      <c r="D21">
        <v>7980375359</v>
      </c>
      <c r="G21" t="s">
        <v>815</v>
      </c>
      <c r="N21" t="s">
        <v>1094</v>
      </c>
    </row>
    <row r="22" spans="1:14" x14ac:dyDescent="0.2">
      <c r="A22" t="s">
        <v>816</v>
      </c>
      <c r="C22">
        <v>9831581005</v>
      </c>
      <c r="D22">
        <v>9875675303</v>
      </c>
      <c r="G22" t="s">
        <v>815</v>
      </c>
    </row>
    <row r="23" spans="1:14" x14ac:dyDescent="0.2">
      <c r="A23" t="s">
        <v>992</v>
      </c>
      <c r="C23">
        <v>9836551405</v>
      </c>
      <c r="D23">
        <v>8820022704</v>
      </c>
      <c r="G23" t="s">
        <v>993</v>
      </c>
    </row>
    <row r="24" spans="1:14" s="64" customFormat="1" x14ac:dyDescent="0.2">
      <c r="A24" s="64" t="s">
        <v>61</v>
      </c>
      <c r="C24" s="64">
        <v>9007839660</v>
      </c>
      <c r="D24" s="64">
        <v>9674288512</v>
      </c>
    </row>
    <row r="25" spans="1:14" x14ac:dyDescent="0.2">
      <c r="A25" t="s">
        <v>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1171-42EE-2E45-803E-EC80B87CC5AD}">
  <dimension ref="A1:G540"/>
  <sheetViews>
    <sheetView workbookViewId="0">
      <selection sqref="A1:XFD3"/>
    </sheetView>
  </sheetViews>
  <sheetFormatPr baseColWidth="10" defaultRowHeight="16" x14ac:dyDescent="0.2"/>
  <cols>
    <col min="2" max="2" width="128.1640625" bestFit="1" customWidth="1"/>
    <col min="4" max="4" width="80.83203125" bestFit="1" customWidth="1"/>
    <col min="5" max="5" width="52.6640625" bestFit="1" customWidth="1"/>
    <col min="6" max="6" width="65.5" bestFit="1" customWidth="1"/>
    <col min="7" max="7" width="80.5" bestFit="1" customWidth="1"/>
  </cols>
  <sheetData>
    <row r="1" spans="1:7" x14ac:dyDescent="0.2">
      <c r="A1" t="s">
        <v>2146</v>
      </c>
      <c r="B1" t="s">
        <v>2147</v>
      </c>
      <c r="C1" t="s">
        <v>2148</v>
      </c>
      <c r="D1" t="s">
        <v>2149</v>
      </c>
      <c r="E1" t="s">
        <v>2150</v>
      </c>
      <c r="F1" t="s">
        <v>2151</v>
      </c>
      <c r="G1" t="s">
        <v>2152</v>
      </c>
    </row>
    <row r="2" spans="1:7" x14ac:dyDescent="0.2">
      <c r="A2" t="s">
        <v>43</v>
      </c>
      <c r="B2" t="s">
        <v>2153</v>
      </c>
      <c r="C2" t="s">
        <v>7</v>
      </c>
      <c r="D2" t="s">
        <v>1366</v>
      </c>
      <c r="F2" t="s">
        <v>1367</v>
      </c>
      <c r="G2" t="s">
        <v>2154</v>
      </c>
    </row>
    <row r="3" spans="1:7" x14ac:dyDescent="0.2">
      <c r="A3" t="s">
        <v>43</v>
      </c>
      <c r="B3" t="s">
        <v>1368</v>
      </c>
      <c r="C3" t="s">
        <v>7</v>
      </c>
      <c r="D3" t="s">
        <v>1369</v>
      </c>
      <c r="F3" t="s">
        <v>1370</v>
      </c>
      <c r="G3" t="s">
        <v>1371</v>
      </c>
    </row>
    <row r="4" spans="1:7" x14ac:dyDescent="0.2">
      <c r="A4" t="s">
        <v>43</v>
      </c>
      <c r="B4" t="s">
        <v>77</v>
      </c>
      <c r="C4" t="s">
        <v>7</v>
      </c>
      <c r="D4" t="s">
        <v>1372</v>
      </c>
      <c r="E4" t="s">
        <v>1373</v>
      </c>
      <c r="F4" t="s">
        <v>1374</v>
      </c>
    </row>
    <row r="5" spans="1:7" x14ac:dyDescent="0.2">
      <c r="A5" t="s">
        <v>59</v>
      </c>
      <c r="B5" t="s">
        <v>1095</v>
      </c>
      <c r="C5" t="s">
        <v>7</v>
      </c>
      <c r="D5" t="s">
        <v>1375</v>
      </c>
      <c r="G5" t="s">
        <v>1376</v>
      </c>
    </row>
    <row r="6" spans="1:7" x14ac:dyDescent="0.2">
      <c r="A6" t="s">
        <v>59</v>
      </c>
      <c r="B6" t="s">
        <v>1096</v>
      </c>
      <c r="C6" t="s">
        <v>7</v>
      </c>
      <c r="D6" t="s">
        <v>1377</v>
      </c>
      <c r="G6" t="s">
        <v>1378</v>
      </c>
    </row>
    <row r="7" spans="1:7" x14ac:dyDescent="0.2">
      <c r="A7" t="s">
        <v>1379</v>
      </c>
      <c r="B7" t="s">
        <v>755</v>
      </c>
      <c r="C7" t="s">
        <v>47</v>
      </c>
      <c r="E7" t="s">
        <v>1380</v>
      </c>
      <c r="F7" t="s">
        <v>1381</v>
      </c>
      <c r="G7" t="s">
        <v>1382</v>
      </c>
    </row>
    <row r="8" spans="1:7" x14ac:dyDescent="0.2">
      <c r="A8" t="s">
        <v>1379</v>
      </c>
      <c r="B8" t="s">
        <v>756</v>
      </c>
      <c r="C8" t="s">
        <v>47</v>
      </c>
      <c r="D8" t="s">
        <v>1383</v>
      </c>
      <c r="F8" t="s">
        <v>1381</v>
      </c>
      <c r="G8" t="s">
        <v>1384</v>
      </c>
    </row>
    <row r="9" spans="1:7" x14ac:dyDescent="0.2">
      <c r="A9" t="s">
        <v>1385</v>
      </c>
      <c r="B9" t="s">
        <v>69</v>
      </c>
      <c r="C9" t="s">
        <v>7</v>
      </c>
      <c r="D9" t="s">
        <v>1386</v>
      </c>
      <c r="G9" t="s">
        <v>1387</v>
      </c>
    </row>
    <row r="10" spans="1:7" x14ac:dyDescent="0.2">
      <c r="A10" t="s">
        <v>1385</v>
      </c>
      <c r="B10" t="s">
        <v>70</v>
      </c>
      <c r="C10" t="s">
        <v>7</v>
      </c>
      <c r="D10" t="s">
        <v>1388</v>
      </c>
      <c r="G10" t="s">
        <v>1387</v>
      </c>
    </row>
    <row r="11" spans="1:7" x14ac:dyDescent="0.2">
      <c r="A11" t="s">
        <v>43</v>
      </c>
      <c r="B11" t="s">
        <v>1389</v>
      </c>
      <c r="C11" t="s">
        <v>7</v>
      </c>
      <c r="D11" t="s">
        <v>1390</v>
      </c>
      <c r="G11" t="s">
        <v>1391</v>
      </c>
    </row>
    <row r="12" spans="1:7" x14ac:dyDescent="0.2">
      <c r="A12" t="s">
        <v>43</v>
      </c>
      <c r="B12" t="s">
        <v>1392</v>
      </c>
      <c r="C12" t="s">
        <v>7</v>
      </c>
      <c r="D12" t="s">
        <v>1393</v>
      </c>
      <c r="G12" t="s">
        <v>1391</v>
      </c>
    </row>
    <row r="13" spans="1:7" x14ac:dyDescent="0.2">
      <c r="A13" t="s">
        <v>43</v>
      </c>
      <c r="B13" t="s">
        <v>78</v>
      </c>
      <c r="C13" t="s">
        <v>7</v>
      </c>
      <c r="D13" t="s">
        <v>277</v>
      </c>
      <c r="E13" t="s">
        <v>1394</v>
      </c>
      <c r="F13" t="s">
        <v>1395</v>
      </c>
    </row>
    <row r="14" spans="1:7" x14ac:dyDescent="0.2">
      <c r="A14" t="s">
        <v>43</v>
      </c>
      <c r="B14" t="s">
        <v>71</v>
      </c>
      <c r="C14" t="s">
        <v>7</v>
      </c>
      <c r="D14" t="s">
        <v>1396</v>
      </c>
      <c r="F14" t="s">
        <v>1370</v>
      </c>
      <c r="G14" t="s">
        <v>1397</v>
      </c>
    </row>
    <row r="15" spans="1:7" x14ac:dyDescent="0.2">
      <c r="A15" t="s">
        <v>43</v>
      </c>
      <c r="B15" t="s">
        <v>79</v>
      </c>
      <c r="C15" t="s">
        <v>7</v>
      </c>
      <c r="D15" t="s">
        <v>1398</v>
      </c>
      <c r="F15" t="s">
        <v>1395</v>
      </c>
    </row>
    <row r="16" spans="1:7" x14ac:dyDescent="0.2">
      <c r="A16" t="s">
        <v>43</v>
      </c>
      <c r="B16" t="s">
        <v>174</v>
      </c>
      <c r="C16" t="s">
        <v>7</v>
      </c>
      <c r="D16" t="s">
        <v>1398</v>
      </c>
      <c r="F16" t="s">
        <v>1395</v>
      </c>
    </row>
    <row r="17" spans="1:7" x14ac:dyDescent="0.2">
      <c r="A17" t="s">
        <v>50</v>
      </c>
      <c r="B17" t="s">
        <v>72</v>
      </c>
      <c r="C17" t="s">
        <v>7</v>
      </c>
      <c r="D17" t="s">
        <v>1399</v>
      </c>
      <c r="F17" t="s">
        <v>1400</v>
      </c>
      <c r="G17" t="s">
        <v>1401</v>
      </c>
    </row>
    <row r="18" spans="1:7" x14ac:dyDescent="0.2">
      <c r="A18" t="s">
        <v>50</v>
      </c>
      <c r="B18" t="s">
        <v>73</v>
      </c>
      <c r="C18" t="s">
        <v>7</v>
      </c>
      <c r="D18" t="s">
        <v>1402</v>
      </c>
      <c r="F18" t="s">
        <v>1403</v>
      </c>
      <c r="G18" t="s">
        <v>1404</v>
      </c>
    </row>
    <row r="19" spans="1:7" x14ac:dyDescent="0.2">
      <c r="A19" t="s">
        <v>50</v>
      </c>
      <c r="B19" t="s">
        <v>80</v>
      </c>
      <c r="C19" t="s">
        <v>7</v>
      </c>
      <c r="D19" t="s">
        <v>1405</v>
      </c>
      <c r="F19" t="s">
        <v>1370</v>
      </c>
      <c r="G19" t="s">
        <v>1406</v>
      </c>
    </row>
    <row r="20" spans="1:7" x14ac:dyDescent="0.2">
      <c r="A20" t="s">
        <v>43</v>
      </c>
      <c r="B20" t="s">
        <v>81</v>
      </c>
      <c r="C20" t="s">
        <v>1407</v>
      </c>
      <c r="D20" t="s">
        <v>1408</v>
      </c>
      <c r="G20" t="s">
        <v>1409</v>
      </c>
    </row>
    <row r="21" spans="1:7" x14ac:dyDescent="0.2">
      <c r="A21" t="s">
        <v>43</v>
      </c>
      <c r="B21" t="s">
        <v>178</v>
      </c>
      <c r="C21" t="s">
        <v>1407</v>
      </c>
      <c r="D21" t="s">
        <v>1410</v>
      </c>
      <c r="E21" t="s">
        <v>1411</v>
      </c>
    </row>
    <row r="22" spans="1:7" x14ac:dyDescent="0.2">
      <c r="A22" t="s">
        <v>43</v>
      </c>
      <c r="B22" t="s">
        <v>179</v>
      </c>
      <c r="C22" t="s">
        <v>1407</v>
      </c>
      <c r="D22" t="s">
        <v>636</v>
      </c>
      <c r="E22" t="s">
        <v>1411</v>
      </c>
    </row>
    <row r="23" spans="1:7" x14ac:dyDescent="0.2">
      <c r="A23" t="s">
        <v>50</v>
      </c>
      <c r="B23" t="s">
        <v>82</v>
      </c>
      <c r="C23" t="s">
        <v>7</v>
      </c>
      <c r="D23" t="s">
        <v>1412</v>
      </c>
      <c r="G23" t="s">
        <v>1413</v>
      </c>
    </row>
    <row r="24" spans="1:7" x14ac:dyDescent="0.2">
      <c r="A24" t="s">
        <v>50</v>
      </c>
      <c r="B24" t="s">
        <v>83</v>
      </c>
      <c r="C24" t="s">
        <v>7</v>
      </c>
      <c r="D24" t="s">
        <v>1414</v>
      </c>
      <c r="G24" t="s">
        <v>1413</v>
      </c>
    </row>
    <row r="25" spans="1:7" x14ac:dyDescent="0.2">
      <c r="A25" t="s">
        <v>50</v>
      </c>
      <c r="B25" t="s">
        <v>84</v>
      </c>
      <c r="C25" t="s">
        <v>7</v>
      </c>
      <c r="F25" t="s">
        <v>1370</v>
      </c>
      <c r="G25" t="s">
        <v>1415</v>
      </c>
    </row>
    <row r="26" spans="1:7" x14ac:dyDescent="0.2">
      <c r="A26" t="s">
        <v>50</v>
      </c>
      <c r="B26" t="s">
        <v>85</v>
      </c>
      <c r="C26" t="s">
        <v>7</v>
      </c>
      <c r="F26" t="s">
        <v>1370</v>
      </c>
      <c r="G26" t="s">
        <v>1416</v>
      </c>
    </row>
    <row r="27" spans="1:7" x14ac:dyDescent="0.2">
      <c r="A27" t="s">
        <v>50</v>
      </c>
      <c r="B27" t="s">
        <v>86</v>
      </c>
      <c r="C27" t="s">
        <v>7</v>
      </c>
      <c r="D27" t="s">
        <v>1417</v>
      </c>
      <c r="F27" t="s">
        <v>1370</v>
      </c>
      <c r="G27" t="s">
        <v>1413</v>
      </c>
    </row>
    <row r="28" spans="1:7" x14ac:dyDescent="0.2">
      <c r="A28" t="s">
        <v>50</v>
      </c>
      <c r="B28" t="s">
        <v>183</v>
      </c>
      <c r="C28" t="s">
        <v>7</v>
      </c>
      <c r="D28" t="s">
        <v>1418</v>
      </c>
      <c r="G28" t="s">
        <v>1413</v>
      </c>
    </row>
    <row r="29" spans="1:7" x14ac:dyDescent="0.2">
      <c r="A29" t="s">
        <v>1419</v>
      </c>
      <c r="B29" t="s">
        <v>87</v>
      </c>
      <c r="C29" t="s">
        <v>7</v>
      </c>
      <c r="D29" t="s">
        <v>1410</v>
      </c>
      <c r="F29" t="s">
        <v>1367</v>
      </c>
      <c r="G29" t="s">
        <v>1420</v>
      </c>
    </row>
    <row r="30" spans="1:7" x14ac:dyDescent="0.2">
      <c r="A30" t="s">
        <v>1419</v>
      </c>
      <c r="B30" t="s">
        <v>88</v>
      </c>
      <c r="C30" t="s">
        <v>7</v>
      </c>
      <c r="D30" t="s">
        <v>1421</v>
      </c>
      <c r="F30" t="s">
        <v>1367</v>
      </c>
      <c r="G30" t="s">
        <v>1420</v>
      </c>
    </row>
    <row r="31" spans="1:7" x14ac:dyDescent="0.2">
      <c r="A31" t="s">
        <v>1419</v>
      </c>
      <c r="B31" t="s">
        <v>89</v>
      </c>
      <c r="C31" t="s">
        <v>7</v>
      </c>
      <c r="D31" t="s">
        <v>1422</v>
      </c>
      <c r="F31" t="s">
        <v>1367</v>
      </c>
      <c r="G31" t="s">
        <v>1420</v>
      </c>
    </row>
    <row r="32" spans="1:7" x14ac:dyDescent="0.2">
      <c r="A32" t="s">
        <v>43</v>
      </c>
      <c r="B32" t="s">
        <v>90</v>
      </c>
      <c r="C32" t="s">
        <v>7</v>
      </c>
      <c r="D32" t="s">
        <v>1410</v>
      </c>
      <c r="G32" t="s">
        <v>1423</v>
      </c>
    </row>
    <row r="33" spans="1:7" x14ac:dyDescent="0.2">
      <c r="A33" t="s">
        <v>43</v>
      </c>
      <c r="B33" t="s">
        <v>91</v>
      </c>
      <c r="C33" t="s">
        <v>7</v>
      </c>
      <c r="D33" t="s">
        <v>1424</v>
      </c>
      <c r="G33" t="s">
        <v>1423</v>
      </c>
    </row>
    <row r="34" spans="1:7" x14ac:dyDescent="0.2">
      <c r="A34" t="s">
        <v>43</v>
      </c>
      <c r="B34" t="s">
        <v>92</v>
      </c>
      <c r="C34" t="s">
        <v>7</v>
      </c>
      <c r="D34" t="s">
        <v>1421</v>
      </c>
      <c r="G34" t="s">
        <v>1423</v>
      </c>
    </row>
    <row r="35" spans="1:7" x14ac:dyDescent="0.2">
      <c r="A35" t="s">
        <v>43</v>
      </c>
      <c r="B35" t="s">
        <v>93</v>
      </c>
      <c r="C35" t="s">
        <v>7</v>
      </c>
      <c r="F35" t="s">
        <v>1367</v>
      </c>
      <c r="G35" t="s">
        <v>1425</v>
      </c>
    </row>
    <row r="36" spans="1:7" x14ac:dyDescent="0.2">
      <c r="A36" t="s">
        <v>43</v>
      </c>
      <c r="B36" t="s">
        <v>187</v>
      </c>
      <c r="C36" t="s">
        <v>7</v>
      </c>
      <c r="D36" t="s">
        <v>1426</v>
      </c>
      <c r="F36" t="s">
        <v>1367</v>
      </c>
      <c r="G36" t="s">
        <v>1420</v>
      </c>
    </row>
    <row r="37" spans="1:7" x14ac:dyDescent="0.2">
      <c r="A37" t="s">
        <v>43</v>
      </c>
      <c r="B37" t="s">
        <v>94</v>
      </c>
      <c r="C37" t="s">
        <v>7</v>
      </c>
      <c r="D37" t="s">
        <v>1427</v>
      </c>
      <c r="F37" t="s">
        <v>1367</v>
      </c>
      <c r="G37" t="s">
        <v>1420</v>
      </c>
    </row>
    <row r="38" spans="1:7" x14ac:dyDescent="0.2">
      <c r="A38" t="s">
        <v>1379</v>
      </c>
      <c r="B38" t="s">
        <v>1428</v>
      </c>
      <c r="C38" t="s">
        <v>7</v>
      </c>
      <c r="D38" t="s">
        <v>636</v>
      </c>
      <c r="F38" t="s">
        <v>1370</v>
      </c>
      <c r="G38" t="s">
        <v>1429</v>
      </c>
    </row>
    <row r="39" spans="1:7" x14ac:dyDescent="0.2">
      <c r="A39" t="s">
        <v>1379</v>
      </c>
      <c r="B39" t="s">
        <v>1430</v>
      </c>
      <c r="C39" t="s">
        <v>7</v>
      </c>
      <c r="D39" t="s">
        <v>268</v>
      </c>
      <c r="F39" t="s">
        <v>1370</v>
      </c>
      <c r="G39" t="s">
        <v>1429</v>
      </c>
    </row>
    <row r="40" spans="1:7" x14ac:dyDescent="0.2">
      <c r="A40" t="s">
        <v>1379</v>
      </c>
      <c r="B40" t="s">
        <v>1431</v>
      </c>
      <c r="C40" t="s">
        <v>7</v>
      </c>
      <c r="D40" t="s">
        <v>1422</v>
      </c>
      <c r="F40" t="s">
        <v>1370</v>
      </c>
      <c r="G40" t="s">
        <v>1429</v>
      </c>
    </row>
    <row r="41" spans="1:7" x14ac:dyDescent="0.2">
      <c r="A41" t="s">
        <v>1379</v>
      </c>
      <c r="B41" t="s">
        <v>1432</v>
      </c>
      <c r="C41" t="s">
        <v>7</v>
      </c>
      <c r="D41" t="s">
        <v>1433</v>
      </c>
      <c r="F41" t="s">
        <v>1370</v>
      </c>
      <c r="G41" t="s">
        <v>1429</v>
      </c>
    </row>
    <row r="42" spans="1:7" x14ac:dyDescent="0.2">
      <c r="A42" t="s">
        <v>1379</v>
      </c>
      <c r="B42" t="s">
        <v>1434</v>
      </c>
      <c r="C42" t="s">
        <v>7</v>
      </c>
      <c r="D42" t="s">
        <v>1435</v>
      </c>
      <c r="F42" t="s">
        <v>1370</v>
      </c>
      <c r="G42" t="s">
        <v>1429</v>
      </c>
    </row>
    <row r="43" spans="1:7" x14ac:dyDescent="0.2">
      <c r="A43" t="s">
        <v>1379</v>
      </c>
      <c r="B43" t="s">
        <v>1436</v>
      </c>
      <c r="C43" t="s">
        <v>7</v>
      </c>
      <c r="D43" t="s">
        <v>1437</v>
      </c>
      <c r="F43" t="s">
        <v>1370</v>
      </c>
      <c r="G43" t="s">
        <v>1429</v>
      </c>
    </row>
    <row r="44" spans="1:7" x14ac:dyDescent="0.2">
      <c r="A44" t="s">
        <v>1379</v>
      </c>
      <c r="B44" t="s">
        <v>1438</v>
      </c>
      <c r="C44" t="s">
        <v>7</v>
      </c>
      <c r="D44" t="s">
        <v>1439</v>
      </c>
      <c r="F44" t="s">
        <v>1440</v>
      </c>
      <c r="G44" t="s">
        <v>1429</v>
      </c>
    </row>
    <row r="45" spans="1:7" x14ac:dyDescent="0.2">
      <c r="A45" t="s">
        <v>1379</v>
      </c>
      <c r="B45" t="s">
        <v>1441</v>
      </c>
      <c r="C45" t="s">
        <v>7</v>
      </c>
      <c r="D45" t="s">
        <v>1421</v>
      </c>
      <c r="E45" t="s">
        <v>1442</v>
      </c>
      <c r="G45" t="s">
        <v>1443</v>
      </c>
    </row>
    <row r="46" spans="1:7" x14ac:dyDescent="0.2">
      <c r="A46" t="s">
        <v>1379</v>
      </c>
      <c r="B46" t="s">
        <v>1444</v>
      </c>
      <c r="C46" t="s">
        <v>7</v>
      </c>
      <c r="D46" t="s">
        <v>1445</v>
      </c>
      <c r="E46" t="s">
        <v>1442</v>
      </c>
      <c r="F46" t="s">
        <v>1370</v>
      </c>
      <c r="G46" t="s">
        <v>1443</v>
      </c>
    </row>
    <row r="47" spans="1:7" x14ac:dyDescent="0.2">
      <c r="A47" t="s">
        <v>1379</v>
      </c>
      <c r="B47" t="s">
        <v>1446</v>
      </c>
      <c r="C47" t="s">
        <v>7</v>
      </c>
      <c r="D47" t="s">
        <v>1422</v>
      </c>
      <c r="E47" t="s">
        <v>1442</v>
      </c>
      <c r="F47" t="s">
        <v>1370</v>
      </c>
      <c r="G47" t="s">
        <v>1443</v>
      </c>
    </row>
    <row r="48" spans="1:7" x14ac:dyDescent="0.2">
      <c r="A48" t="s">
        <v>1379</v>
      </c>
      <c r="B48" t="s">
        <v>1447</v>
      </c>
      <c r="C48" t="s">
        <v>7</v>
      </c>
      <c r="E48" t="s">
        <v>1442</v>
      </c>
      <c r="F48" t="s">
        <v>1370</v>
      </c>
      <c r="G48" t="s">
        <v>1448</v>
      </c>
    </row>
    <row r="49" spans="1:7" x14ac:dyDescent="0.2">
      <c r="A49" t="s">
        <v>1379</v>
      </c>
      <c r="B49" t="s">
        <v>194</v>
      </c>
      <c r="C49" t="s">
        <v>7</v>
      </c>
      <c r="D49" t="s">
        <v>1449</v>
      </c>
      <c r="F49" t="s">
        <v>1381</v>
      </c>
    </row>
    <row r="50" spans="1:7" x14ac:dyDescent="0.2">
      <c r="A50" t="s">
        <v>1379</v>
      </c>
      <c r="B50" t="s">
        <v>101</v>
      </c>
      <c r="C50" t="s">
        <v>7</v>
      </c>
      <c r="D50" t="s">
        <v>1450</v>
      </c>
      <c r="F50" t="s">
        <v>1381</v>
      </c>
    </row>
    <row r="51" spans="1:7" x14ac:dyDescent="0.2">
      <c r="A51" t="s">
        <v>1379</v>
      </c>
      <c r="B51" t="s">
        <v>102</v>
      </c>
      <c r="C51" t="s">
        <v>7</v>
      </c>
      <c r="D51" t="s">
        <v>1451</v>
      </c>
      <c r="F51" t="s">
        <v>1381</v>
      </c>
    </row>
    <row r="52" spans="1:7" x14ac:dyDescent="0.2">
      <c r="A52" t="s">
        <v>1379</v>
      </c>
      <c r="B52" t="s">
        <v>103</v>
      </c>
      <c r="C52" t="s">
        <v>7</v>
      </c>
      <c r="D52" t="s">
        <v>1452</v>
      </c>
      <c r="F52" t="s">
        <v>1381</v>
      </c>
    </row>
    <row r="53" spans="1:7" x14ac:dyDescent="0.2">
      <c r="A53" t="s">
        <v>1379</v>
      </c>
      <c r="B53" t="s">
        <v>104</v>
      </c>
      <c r="C53" t="s">
        <v>7</v>
      </c>
      <c r="G53" t="s">
        <v>1453</v>
      </c>
    </row>
    <row r="54" spans="1:7" x14ac:dyDescent="0.2">
      <c r="A54" t="s">
        <v>1379</v>
      </c>
      <c r="B54" t="s">
        <v>105</v>
      </c>
      <c r="C54" t="s">
        <v>7</v>
      </c>
      <c r="D54" t="s">
        <v>1454</v>
      </c>
      <c r="F54" t="s">
        <v>1367</v>
      </c>
      <c r="G54" t="s">
        <v>1455</v>
      </c>
    </row>
    <row r="55" spans="1:7" x14ac:dyDescent="0.2">
      <c r="A55" t="s">
        <v>1379</v>
      </c>
      <c r="B55" t="s">
        <v>195</v>
      </c>
      <c r="C55" t="s">
        <v>7</v>
      </c>
      <c r="D55" t="s">
        <v>1456</v>
      </c>
      <c r="F55" t="s">
        <v>1367</v>
      </c>
      <c r="G55" t="s">
        <v>1455</v>
      </c>
    </row>
    <row r="56" spans="1:7" x14ac:dyDescent="0.2">
      <c r="A56" t="s">
        <v>1379</v>
      </c>
      <c r="B56" t="s">
        <v>106</v>
      </c>
      <c r="C56" t="s">
        <v>7</v>
      </c>
      <c r="D56" t="s">
        <v>1410</v>
      </c>
      <c r="F56" t="s">
        <v>1457</v>
      </c>
      <c r="G56" t="s">
        <v>1458</v>
      </c>
    </row>
    <row r="57" spans="1:7" x14ac:dyDescent="0.2">
      <c r="A57" t="s">
        <v>1379</v>
      </c>
      <c r="B57" t="s">
        <v>107</v>
      </c>
      <c r="C57" t="s">
        <v>7</v>
      </c>
      <c r="D57" t="s">
        <v>1410</v>
      </c>
      <c r="F57" t="s">
        <v>1367</v>
      </c>
      <c r="G57" t="s">
        <v>1459</v>
      </c>
    </row>
    <row r="58" spans="1:7" x14ac:dyDescent="0.2">
      <c r="A58" t="s">
        <v>1379</v>
      </c>
      <c r="B58" t="s">
        <v>108</v>
      </c>
      <c r="C58" t="s">
        <v>7</v>
      </c>
      <c r="E58" t="s">
        <v>1460</v>
      </c>
      <c r="F58" t="s">
        <v>1367</v>
      </c>
      <c r="G58" t="s">
        <v>279</v>
      </c>
    </row>
    <row r="59" spans="1:7" x14ac:dyDescent="0.2">
      <c r="A59" t="s">
        <v>1379</v>
      </c>
      <c r="B59" t="s">
        <v>109</v>
      </c>
      <c r="C59" t="s">
        <v>7</v>
      </c>
      <c r="D59" t="s">
        <v>268</v>
      </c>
      <c r="F59" t="s">
        <v>1461</v>
      </c>
    </row>
    <row r="60" spans="1:7" x14ac:dyDescent="0.2">
      <c r="A60" t="s">
        <v>1379</v>
      </c>
      <c r="B60" t="s">
        <v>110</v>
      </c>
      <c r="C60" t="s">
        <v>57</v>
      </c>
      <c r="F60" t="s">
        <v>1457</v>
      </c>
      <c r="G60" t="s">
        <v>1462</v>
      </c>
    </row>
    <row r="61" spans="1:7" x14ac:dyDescent="0.2">
      <c r="A61" t="s">
        <v>589</v>
      </c>
      <c r="B61" t="s">
        <v>196</v>
      </c>
      <c r="C61" t="s">
        <v>7</v>
      </c>
      <c r="D61" t="s">
        <v>1463</v>
      </c>
      <c r="E61" t="s">
        <v>1464</v>
      </c>
      <c r="G61" t="s">
        <v>1465</v>
      </c>
    </row>
    <row r="62" spans="1:7" x14ac:dyDescent="0.2">
      <c r="A62" t="s">
        <v>589</v>
      </c>
      <c r="B62" t="s">
        <v>111</v>
      </c>
      <c r="C62" t="s">
        <v>7</v>
      </c>
      <c r="D62" t="s">
        <v>1466</v>
      </c>
      <c r="E62" t="s">
        <v>1464</v>
      </c>
      <c r="G62" t="s">
        <v>1467</v>
      </c>
    </row>
    <row r="63" spans="1:7" x14ac:dyDescent="0.2">
      <c r="A63" t="s">
        <v>589</v>
      </c>
      <c r="B63" t="s">
        <v>1468</v>
      </c>
      <c r="C63" t="s">
        <v>7</v>
      </c>
      <c r="E63" t="s">
        <v>1469</v>
      </c>
      <c r="G63" t="s">
        <v>1470</v>
      </c>
    </row>
    <row r="64" spans="1:7" x14ac:dyDescent="0.2">
      <c r="A64" t="s">
        <v>589</v>
      </c>
      <c r="B64" t="s">
        <v>1471</v>
      </c>
      <c r="C64" t="s">
        <v>7</v>
      </c>
      <c r="D64" t="s">
        <v>1472</v>
      </c>
      <c r="E64" t="s">
        <v>1469</v>
      </c>
    </row>
    <row r="65" spans="1:7" x14ac:dyDescent="0.2">
      <c r="A65" t="s">
        <v>589</v>
      </c>
      <c r="B65" t="s">
        <v>1473</v>
      </c>
      <c r="C65" t="s">
        <v>7</v>
      </c>
      <c r="E65" t="s">
        <v>1469</v>
      </c>
      <c r="G65" t="s">
        <v>1474</v>
      </c>
    </row>
    <row r="66" spans="1:7" x14ac:dyDescent="0.2">
      <c r="A66" t="s">
        <v>1475</v>
      </c>
      <c r="B66" t="s">
        <v>112</v>
      </c>
      <c r="C66" t="s">
        <v>7</v>
      </c>
      <c r="D66" t="s">
        <v>1421</v>
      </c>
      <c r="G66" t="s">
        <v>1476</v>
      </c>
    </row>
    <row r="67" spans="1:7" x14ac:dyDescent="0.2">
      <c r="A67" t="s">
        <v>59</v>
      </c>
      <c r="B67" t="s">
        <v>1477</v>
      </c>
      <c r="C67" t="s">
        <v>7</v>
      </c>
      <c r="D67" t="s">
        <v>277</v>
      </c>
      <c r="E67" t="s">
        <v>1478</v>
      </c>
    </row>
    <row r="68" spans="1:7" x14ac:dyDescent="0.2">
      <c r="A68" t="s">
        <v>59</v>
      </c>
      <c r="B68" t="s">
        <v>1479</v>
      </c>
      <c r="C68" t="s">
        <v>7</v>
      </c>
      <c r="E68" t="s">
        <v>1480</v>
      </c>
      <c r="G68" t="s">
        <v>279</v>
      </c>
    </row>
    <row r="69" spans="1:7" x14ac:dyDescent="0.2">
      <c r="A69" t="s">
        <v>59</v>
      </c>
      <c r="B69" t="s">
        <v>113</v>
      </c>
      <c r="C69" t="s">
        <v>7</v>
      </c>
      <c r="D69" t="s">
        <v>1481</v>
      </c>
      <c r="G69" t="s">
        <v>1429</v>
      </c>
    </row>
    <row r="70" spans="1:7" x14ac:dyDescent="0.2">
      <c r="A70" t="s">
        <v>59</v>
      </c>
      <c r="B70" t="s">
        <v>114</v>
      </c>
      <c r="C70" t="s">
        <v>7</v>
      </c>
      <c r="D70" t="s">
        <v>1482</v>
      </c>
    </row>
    <row r="71" spans="1:7" x14ac:dyDescent="0.2">
      <c r="A71" t="s">
        <v>59</v>
      </c>
      <c r="B71" t="s">
        <v>115</v>
      </c>
      <c r="C71" t="s">
        <v>7</v>
      </c>
      <c r="D71" t="s">
        <v>1483</v>
      </c>
      <c r="G71" t="s">
        <v>1484</v>
      </c>
    </row>
    <row r="72" spans="1:7" x14ac:dyDescent="0.2">
      <c r="A72" t="s">
        <v>59</v>
      </c>
      <c r="B72" t="s">
        <v>116</v>
      </c>
      <c r="C72" t="s">
        <v>7</v>
      </c>
      <c r="D72" t="s">
        <v>1485</v>
      </c>
      <c r="G72" t="s">
        <v>1486</v>
      </c>
    </row>
    <row r="73" spans="1:7" x14ac:dyDescent="0.2">
      <c r="A73" t="s">
        <v>59</v>
      </c>
      <c r="B73" t="s">
        <v>205</v>
      </c>
      <c r="C73" t="s">
        <v>7</v>
      </c>
      <c r="D73" t="s">
        <v>1487</v>
      </c>
      <c r="G73" t="s">
        <v>1488</v>
      </c>
    </row>
    <row r="74" spans="1:7" x14ac:dyDescent="0.2">
      <c r="A74" t="s">
        <v>59</v>
      </c>
      <c r="B74" t="s">
        <v>206</v>
      </c>
      <c r="C74" t="s">
        <v>7</v>
      </c>
      <c r="D74" t="s">
        <v>277</v>
      </c>
      <c r="G74" t="s">
        <v>1488</v>
      </c>
    </row>
    <row r="75" spans="1:7" x14ac:dyDescent="0.2">
      <c r="A75" t="s">
        <v>59</v>
      </c>
      <c r="B75" t="s">
        <v>207</v>
      </c>
      <c r="C75" t="s">
        <v>7</v>
      </c>
      <c r="D75" t="s">
        <v>207</v>
      </c>
    </row>
    <row r="76" spans="1:7" x14ac:dyDescent="0.2">
      <c r="A76" t="s">
        <v>59</v>
      </c>
      <c r="B76" t="s">
        <v>117</v>
      </c>
      <c r="C76" t="s">
        <v>7</v>
      </c>
      <c r="D76" t="s">
        <v>277</v>
      </c>
      <c r="F76" t="s">
        <v>1489</v>
      </c>
      <c r="G76" t="s">
        <v>1490</v>
      </c>
    </row>
    <row r="77" spans="1:7" x14ac:dyDescent="0.2">
      <c r="A77" t="s">
        <v>59</v>
      </c>
      <c r="B77" t="s">
        <v>505</v>
      </c>
      <c r="C77" t="s">
        <v>7</v>
      </c>
      <c r="F77" t="s">
        <v>1457</v>
      </c>
      <c r="G77" t="s">
        <v>1491</v>
      </c>
    </row>
    <row r="78" spans="1:7" x14ac:dyDescent="0.2">
      <c r="A78" t="s">
        <v>59</v>
      </c>
      <c r="B78" t="s">
        <v>118</v>
      </c>
      <c r="C78" t="s">
        <v>7</v>
      </c>
      <c r="D78" t="s">
        <v>1492</v>
      </c>
      <c r="F78" t="s">
        <v>1457</v>
      </c>
    </row>
    <row r="79" spans="1:7" x14ac:dyDescent="0.2">
      <c r="A79" t="s">
        <v>59</v>
      </c>
      <c r="B79" t="s">
        <v>119</v>
      </c>
      <c r="C79" t="s">
        <v>7</v>
      </c>
      <c r="D79" t="s">
        <v>1493</v>
      </c>
      <c r="F79" t="s">
        <v>1440</v>
      </c>
    </row>
    <row r="80" spans="1:7" x14ac:dyDescent="0.2">
      <c r="A80" t="s">
        <v>59</v>
      </c>
      <c r="B80" t="s">
        <v>120</v>
      </c>
      <c r="C80" t="s">
        <v>7</v>
      </c>
      <c r="D80" t="s">
        <v>1494</v>
      </c>
      <c r="F80" t="s">
        <v>1440</v>
      </c>
      <c r="G80" t="s">
        <v>1495</v>
      </c>
    </row>
    <row r="81" spans="1:7" x14ac:dyDescent="0.2">
      <c r="A81" t="s">
        <v>59</v>
      </c>
      <c r="B81" t="s">
        <v>121</v>
      </c>
      <c r="C81" t="s">
        <v>7</v>
      </c>
      <c r="D81" t="s">
        <v>1496</v>
      </c>
      <c r="F81" t="s">
        <v>1440</v>
      </c>
    </row>
    <row r="82" spans="1:7" x14ac:dyDescent="0.2">
      <c r="A82" t="s">
        <v>59</v>
      </c>
      <c r="B82" t="s">
        <v>209</v>
      </c>
      <c r="C82" t="s">
        <v>7</v>
      </c>
      <c r="D82" t="s">
        <v>209</v>
      </c>
    </row>
    <row r="83" spans="1:7" x14ac:dyDescent="0.2">
      <c r="A83" t="s">
        <v>59</v>
      </c>
      <c r="B83" t="s">
        <v>122</v>
      </c>
      <c r="C83" t="s">
        <v>7</v>
      </c>
      <c r="D83" t="s">
        <v>1497</v>
      </c>
      <c r="F83" t="s">
        <v>1440</v>
      </c>
      <c r="G83" t="s">
        <v>1498</v>
      </c>
    </row>
    <row r="84" spans="1:7" x14ac:dyDescent="0.2">
      <c r="A84" t="s">
        <v>1379</v>
      </c>
      <c r="B84" t="s">
        <v>123</v>
      </c>
      <c r="C84" t="s">
        <v>642</v>
      </c>
      <c r="D84" t="s">
        <v>1499</v>
      </c>
      <c r="G84" t="s">
        <v>1500</v>
      </c>
    </row>
    <row r="85" spans="1:7" x14ac:dyDescent="0.2">
      <c r="A85" t="s">
        <v>43</v>
      </c>
      <c r="B85" t="s">
        <v>124</v>
      </c>
      <c r="C85" t="s">
        <v>62</v>
      </c>
      <c r="D85" t="s">
        <v>1501</v>
      </c>
      <c r="E85" t="s">
        <v>1502</v>
      </c>
      <c r="G85" t="s">
        <v>1423</v>
      </c>
    </row>
    <row r="86" spans="1:7" x14ac:dyDescent="0.2">
      <c r="A86" t="s">
        <v>43</v>
      </c>
      <c r="B86" t="s">
        <v>125</v>
      </c>
      <c r="C86" t="s">
        <v>62</v>
      </c>
      <c r="D86" t="s">
        <v>1503</v>
      </c>
      <c r="E86" t="s">
        <v>1502</v>
      </c>
      <c r="G86" t="s">
        <v>1423</v>
      </c>
    </row>
    <row r="87" spans="1:7" x14ac:dyDescent="0.2">
      <c r="A87" t="s">
        <v>43</v>
      </c>
      <c r="B87" t="s">
        <v>126</v>
      </c>
      <c r="C87" t="s">
        <v>7</v>
      </c>
      <c r="D87" t="s">
        <v>266</v>
      </c>
      <c r="G87" t="s">
        <v>1504</v>
      </c>
    </row>
    <row r="88" spans="1:7" x14ac:dyDescent="0.2">
      <c r="A88" t="s">
        <v>1379</v>
      </c>
      <c r="B88" t="s">
        <v>213</v>
      </c>
      <c r="C88" t="s">
        <v>7</v>
      </c>
      <c r="G88" t="s">
        <v>213</v>
      </c>
    </row>
    <row r="89" spans="1:7" x14ac:dyDescent="0.2">
      <c r="A89" t="s">
        <v>589</v>
      </c>
      <c r="B89" t="s">
        <v>590</v>
      </c>
      <c r="C89" t="s">
        <v>7</v>
      </c>
      <c r="D89" t="s">
        <v>590</v>
      </c>
    </row>
    <row r="90" spans="1:7" x14ac:dyDescent="0.2">
      <c r="A90" t="s">
        <v>59</v>
      </c>
      <c r="B90" t="s">
        <v>217</v>
      </c>
      <c r="C90" t="s">
        <v>7</v>
      </c>
      <c r="D90" t="s">
        <v>217</v>
      </c>
    </row>
    <row r="91" spans="1:7" x14ac:dyDescent="0.2">
      <c r="A91" t="s">
        <v>1505</v>
      </c>
      <c r="B91" t="s">
        <v>241</v>
      </c>
      <c r="C91" t="s">
        <v>617</v>
      </c>
      <c r="G91" t="s">
        <v>241</v>
      </c>
    </row>
    <row r="92" spans="1:7" x14ac:dyDescent="0.2">
      <c r="A92" t="s">
        <v>1505</v>
      </c>
      <c r="B92" t="s">
        <v>242</v>
      </c>
      <c r="C92" t="s">
        <v>617</v>
      </c>
      <c r="D92" t="s">
        <v>242</v>
      </c>
    </row>
    <row r="93" spans="1:7" x14ac:dyDescent="0.2">
      <c r="A93" t="s">
        <v>43</v>
      </c>
      <c r="B93" t="s">
        <v>248</v>
      </c>
      <c r="C93" t="s">
        <v>617</v>
      </c>
      <c r="D93" t="s">
        <v>1506</v>
      </c>
      <c r="G93" t="s">
        <v>1507</v>
      </c>
    </row>
    <row r="94" spans="1:7" x14ac:dyDescent="0.2">
      <c r="A94" t="s">
        <v>43</v>
      </c>
      <c r="B94" t="s">
        <v>243</v>
      </c>
      <c r="C94" t="s">
        <v>617</v>
      </c>
      <c r="G94" t="s">
        <v>1508</v>
      </c>
    </row>
    <row r="95" spans="1:7" x14ac:dyDescent="0.2">
      <c r="A95" t="s">
        <v>43</v>
      </c>
      <c r="B95" t="s">
        <v>244</v>
      </c>
      <c r="C95" t="s">
        <v>617</v>
      </c>
      <c r="D95" t="s">
        <v>1509</v>
      </c>
      <c r="E95" t="s">
        <v>1510</v>
      </c>
      <c r="G95" t="s">
        <v>1511</v>
      </c>
    </row>
    <row r="96" spans="1:7" x14ac:dyDescent="0.2">
      <c r="A96" t="s">
        <v>43</v>
      </c>
      <c r="B96" t="s">
        <v>245</v>
      </c>
      <c r="C96" t="s">
        <v>617</v>
      </c>
      <c r="E96" t="s">
        <v>1510</v>
      </c>
      <c r="G96" t="s">
        <v>1512</v>
      </c>
    </row>
    <row r="97" spans="1:7" x14ac:dyDescent="0.2">
      <c r="A97" t="s">
        <v>43</v>
      </c>
      <c r="B97" t="s">
        <v>246</v>
      </c>
      <c r="C97" t="s">
        <v>617</v>
      </c>
      <c r="D97" t="s">
        <v>1513</v>
      </c>
      <c r="E97" t="s">
        <v>1510</v>
      </c>
      <c r="G97" t="s">
        <v>1511</v>
      </c>
    </row>
    <row r="98" spans="1:7" x14ac:dyDescent="0.2">
      <c r="A98" t="s">
        <v>43</v>
      </c>
      <c r="B98" t="s">
        <v>247</v>
      </c>
      <c r="C98" t="s">
        <v>617</v>
      </c>
      <c r="D98" t="s">
        <v>1514</v>
      </c>
      <c r="E98" t="s">
        <v>1510</v>
      </c>
      <c r="G98" t="s">
        <v>1511</v>
      </c>
    </row>
    <row r="99" spans="1:7" x14ac:dyDescent="0.2">
      <c r="A99" t="s">
        <v>688</v>
      </c>
      <c r="B99" t="s">
        <v>1097</v>
      </c>
      <c r="C99" t="s">
        <v>250</v>
      </c>
      <c r="D99" t="s">
        <v>1515</v>
      </c>
      <c r="F99" t="s">
        <v>1381</v>
      </c>
      <c r="G99" t="s">
        <v>1413</v>
      </c>
    </row>
    <row r="100" spans="1:7" x14ac:dyDescent="0.2">
      <c r="A100" t="s">
        <v>688</v>
      </c>
      <c r="B100" t="s">
        <v>1098</v>
      </c>
      <c r="C100" t="s">
        <v>250</v>
      </c>
      <c r="D100" t="s">
        <v>1516</v>
      </c>
      <c r="F100" t="s">
        <v>1381</v>
      </c>
      <c r="G100" t="s">
        <v>1413</v>
      </c>
    </row>
    <row r="101" spans="1:7" x14ac:dyDescent="0.2">
      <c r="A101" t="s">
        <v>688</v>
      </c>
      <c r="B101" t="s">
        <v>1099</v>
      </c>
      <c r="C101" t="s">
        <v>250</v>
      </c>
      <c r="D101" t="s">
        <v>1517</v>
      </c>
      <c r="F101" t="s">
        <v>1381</v>
      </c>
      <c r="G101" t="s">
        <v>1413</v>
      </c>
    </row>
    <row r="102" spans="1:7" x14ac:dyDescent="0.2">
      <c r="A102" t="s">
        <v>688</v>
      </c>
      <c r="B102" t="s">
        <v>1100</v>
      </c>
      <c r="C102" t="s">
        <v>250</v>
      </c>
      <c r="D102" t="s">
        <v>1518</v>
      </c>
      <c r="F102" t="s">
        <v>1381</v>
      </c>
      <c r="G102" t="s">
        <v>1413</v>
      </c>
    </row>
    <row r="103" spans="1:7" x14ac:dyDescent="0.2">
      <c r="A103" t="s">
        <v>589</v>
      </c>
      <c r="B103" t="s">
        <v>591</v>
      </c>
      <c r="C103" t="s">
        <v>249</v>
      </c>
      <c r="G103" t="s">
        <v>591</v>
      </c>
    </row>
    <row r="104" spans="1:7" x14ac:dyDescent="0.2">
      <c r="A104" t="s">
        <v>1379</v>
      </c>
      <c r="B104" t="s">
        <v>1519</v>
      </c>
      <c r="C104" t="s">
        <v>249</v>
      </c>
      <c r="D104" t="s">
        <v>1520</v>
      </c>
      <c r="E104" t="s">
        <v>1521</v>
      </c>
      <c r="F104" t="s">
        <v>1381</v>
      </c>
    </row>
    <row r="105" spans="1:7" x14ac:dyDescent="0.2">
      <c r="A105" t="s">
        <v>688</v>
      </c>
      <c r="B105" t="s">
        <v>1522</v>
      </c>
      <c r="C105" t="s">
        <v>520</v>
      </c>
      <c r="D105" t="s">
        <v>1417</v>
      </c>
      <c r="F105" t="s">
        <v>1370</v>
      </c>
      <c r="G105" t="s">
        <v>1523</v>
      </c>
    </row>
    <row r="106" spans="1:7" x14ac:dyDescent="0.2">
      <c r="A106" t="s">
        <v>59</v>
      </c>
      <c r="B106" t="s">
        <v>1524</v>
      </c>
      <c r="C106" t="s">
        <v>251</v>
      </c>
      <c r="D106" t="s">
        <v>1525</v>
      </c>
      <c r="F106" t="s">
        <v>1367</v>
      </c>
      <c r="G106" t="s">
        <v>1526</v>
      </c>
    </row>
    <row r="107" spans="1:7" x14ac:dyDescent="0.2">
      <c r="A107" t="s">
        <v>59</v>
      </c>
      <c r="B107" t="s">
        <v>1527</v>
      </c>
      <c r="C107" t="s">
        <v>251</v>
      </c>
      <c r="D107" t="s">
        <v>1528</v>
      </c>
      <c r="F107" t="s">
        <v>1367</v>
      </c>
      <c r="G107" t="s">
        <v>1526</v>
      </c>
    </row>
    <row r="108" spans="1:7" x14ac:dyDescent="0.2">
      <c r="A108" t="s">
        <v>59</v>
      </c>
      <c r="B108" t="s">
        <v>1529</v>
      </c>
      <c r="C108" t="s">
        <v>251</v>
      </c>
      <c r="D108" t="s">
        <v>1530</v>
      </c>
      <c r="F108" t="s">
        <v>1367</v>
      </c>
      <c r="G108" t="s">
        <v>1526</v>
      </c>
    </row>
    <row r="109" spans="1:7" x14ac:dyDescent="0.2">
      <c r="A109" t="s">
        <v>688</v>
      </c>
      <c r="B109" t="s">
        <v>1101</v>
      </c>
      <c r="C109" t="s">
        <v>252</v>
      </c>
      <c r="D109" t="s">
        <v>1531</v>
      </c>
      <c r="F109" t="s">
        <v>1381</v>
      </c>
      <c r="G109" t="s">
        <v>1532</v>
      </c>
    </row>
    <row r="110" spans="1:7" x14ac:dyDescent="0.2">
      <c r="A110" t="s">
        <v>688</v>
      </c>
      <c r="B110" t="s">
        <v>1102</v>
      </c>
      <c r="C110" t="s">
        <v>252</v>
      </c>
      <c r="D110" t="s">
        <v>1533</v>
      </c>
      <c r="F110" t="s">
        <v>1381</v>
      </c>
      <c r="G110" t="s">
        <v>1534</v>
      </c>
    </row>
    <row r="111" spans="1:7" x14ac:dyDescent="0.2">
      <c r="A111" t="s">
        <v>1379</v>
      </c>
      <c r="B111" t="s">
        <v>1103</v>
      </c>
      <c r="C111" t="s">
        <v>264</v>
      </c>
      <c r="D111" t="s">
        <v>636</v>
      </c>
      <c r="E111" t="s">
        <v>1535</v>
      </c>
      <c r="G111" t="s">
        <v>1536</v>
      </c>
    </row>
    <row r="112" spans="1:7" x14ac:dyDescent="0.2">
      <c r="A112" t="s">
        <v>1537</v>
      </c>
      <c r="B112" t="s">
        <v>266</v>
      </c>
      <c r="C112" t="s">
        <v>7</v>
      </c>
      <c r="D112" t="s">
        <v>266</v>
      </c>
    </row>
    <row r="113" spans="1:7" x14ac:dyDescent="0.2">
      <c r="A113" t="s">
        <v>1537</v>
      </c>
      <c r="B113" t="s">
        <v>268</v>
      </c>
      <c r="C113" t="s">
        <v>7</v>
      </c>
      <c r="D113" t="s">
        <v>268</v>
      </c>
    </row>
    <row r="114" spans="1:7" x14ac:dyDescent="0.2">
      <c r="A114" t="s">
        <v>1537</v>
      </c>
      <c r="B114" t="s">
        <v>277</v>
      </c>
      <c r="C114" t="s">
        <v>7</v>
      </c>
      <c r="D114" t="s">
        <v>277</v>
      </c>
    </row>
    <row r="115" spans="1:7" x14ac:dyDescent="0.2">
      <c r="A115" t="s">
        <v>1537</v>
      </c>
      <c r="B115" t="s">
        <v>278</v>
      </c>
      <c r="C115" t="s">
        <v>7</v>
      </c>
      <c r="G115" t="s">
        <v>278</v>
      </c>
    </row>
    <row r="116" spans="1:7" x14ac:dyDescent="0.2">
      <c r="A116" t="s">
        <v>1537</v>
      </c>
      <c r="B116" t="s">
        <v>279</v>
      </c>
      <c r="C116" t="s">
        <v>7</v>
      </c>
      <c r="G116" t="s">
        <v>279</v>
      </c>
    </row>
    <row r="117" spans="1:7" x14ac:dyDescent="0.2">
      <c r="A117" t="s">
        <v>296</v>
      </c>
      <c r="B117" t="s">
        <v>277</v>
      </c>
      <c r="C117" t="s">
        <v>7</v>
      </c>
      <c r="D117" t="s">
        <v>277</v>
      </c>
    </row>
    <row r="118" spans="1:7" x14ac:dyDescent="0.2">
      <c r="A118" t="s">
        <v>688</v>
      </c>
      <c r="B118" t="s">
        <v>1538</v>
      </c>
      <c r="C118" t="s">
        <v>47</v>
      </c>
      <c r="D118" t="s">
        <v>1539</v>
      </c>
      <c r="F118" t="s">
        <v>1381</v>
      </c>
      <c r="G118" t="s">
        <v>1413</v>
      </c>
    </row>
    <row r="119" spans="1:7" x14ac:dyDescent="0.2">
      <c r="A119" t="s">
        <v>50</v>
      </c>
      <c r="B119" t="s">
        <v>577</v>
      </c>
      <c r="C119" t="s">
        <v>249</v>
      </c>
      <c r="D119" t="s">
        <v>1540</v>
      </c>
      <c r="G119" t="s">
        <v>1413</v>
      </c>
    </row>
    <row r="120" spans="1:7" x14ac:dyDescent="0.2">
      <c r="A120" t="s">
        <v>280</v>
      </c>
      <c r="B120" t="s">
        <v>1104</v>
      </c>
      <c r="C120" t="s">
        <v>642</v>
      </c>
      <c r="D120" t="s">
        <v>1104</v>
      </c>
    </row>
    <row r="121" spans="1:7" x14ac:dyDescent="0.2">
      <c r="A121" t="s">
        <v>59</v>
      </c>
      <c r="B121" t="s">
        <v>1105</v>
      </c>
      <c r="C121" t="s">
        <v>7</v>
      </c>
      <c r="D121" t="s">
        <v>1541</v>
      </c>
      <c r="F121" t="s">
        <v>1542</v>
      </c>
    </row>
    <row r="122" spans="1:7" x14ac:dyDescent="0.2">
      <c r="A122" t="s">
        <v>1379</v>
      </c>
      <c r="B122" t="s">
        <v>1106</v>
      </c>
      <c r="C122" t="s">
        <v>251</v>
      </c>
      <c r="F122" t="s">
        <v>1543</v>
      </c>
      <c r="G122" t="s">
        <v>1544</v>
      </c>
    </row>
    <row r="123" spans="1:7" x14ac:dyDescent="0.2">
      <c r="A123" t="s">
        <v>1379</v>
      </c>
      <c r="B123" t="s">
        <v>1107</v>
      </c>
      <c r="C123" t="s">
        <v>251</v>
      </c>
      <c r="D123" t="s">
        <v>1545</v>
      </c>
      <c r="F123" t="s">
        <v>1543</v>
      </c>
    </row>
    <row r="124" spans="1:7" x14ac:dyDescent="0.2">
      <c r="A124" t="s">
        <v>1379</v>
      </c>
      <c r="B124" t="s">
        <v>1546</v>
      </c>
      <c r="C124" t="s">
        <v>1547</v>
      </c>
      <c r="D124" t="s">
        <v>1548</v>
      </c>
      <c r="F124" t="s">
        <v>1370</v>
      </c>
    </row>
    <row r="125" spans="1:7" x14ac:dyDescent="0.2">
      <c r="A125" t="s">
        <v>59</v>
      </c>
      <c r="B125" t="s">
        <v>1549</v>
      </c>
      <c r="C125" t="s">
        <v>7</v>
      </c>
      <c r="D125" t="s">
        <v>1550</v>
      </c>
      <c r="F125" t="s">
        <v>1542</v>
      </c>
    </row>
    <row r="126" spans="1:7" x14ac:dyDescent="0.2">
      <c r="A126" t="s">
        <v>1551</v>
      </c>
      <c r="B126" t="s">
        <v>1108</v>
      </c>
      <c r="C126" t="s">
        <v>249</v>
      </c>
      <c r="D126" t="s">
        <v>1552</v>
      </c>
      <c r="G126" t="s">
        <v>1553</v>
      </c>
    </row>
    <row r="127" spans="1:7" x14ac:dyDescent="0.2">
      <c r="A127" t="s">
        <v>1379</v>
      </c>
      <c r="B127" t="s">
        <v>1109</v>
      </c>
      <c r="C127" t="s">
        <v>249</v>
      </c>
      <c r="F127" t="s">
        <v>1554</v>
      </c>
      <c r="G127" t="s">
        <v>1555</v>
      </c>
    </row>
    <row r="128" spans="1:7" x14ac:dyDescent="0.2">
      <c r="A128" t="s">
        <v>1379</v>
      </c>
      <c r="B128" t="s">
        <v>1556</v>
      </c>
      <c r="C128" t="s">
        <v>1547</v>
      </c>
      <c r="D128" t="s">
        <v>1557</v>
      </c>
      <c r="E128" t="s">
        <v>1558</v>
      </c>
      <c r="F128" t="s">
        <v>1370</v>
      </c>
    </row>
    <row r="129" spans="1:7" x14ac:dyDescent="0.2">
      <c r="A129" t="s">
        <v>1379</v>
      </c>
      <c r="B129" t="s">
        <v>1110</v>
      </c>
      <c r="C129" t="s">
        <v>642</v>
      </c>
      <c r="D129" t="s">
        <v>1559</v>
      </c>
      <c r="E129" t="s">
        <v>1560</v>
      </c>
      <c r="F129" t="s">
        <v>1381</v>
      </c>
      <c r="G129" t="s">
        <v>1561</v>
      </c>
    </row>
    <row r="130" spans="1:7" x14ac:dyDescent="0.2">
      <c r="A130" t="s">
        <v>59</v>
      </c>
      <c r="B130" t="s">
        <v>1562</v>
      </c>
      <c r="C130" t="s">
        <v>7</v>
      </c>
      <c r="D130" t="s">
        <v>1563</v>
      </c>
      <c r="F130" t="s">
        <v>1542</v>
      </c>
    </row>
    <row r="131" spans="1:7" x14ac:dyDescent="0.2">
      <c r="A131" t="s">
        <v>59</v>
      </c>
      <c r="B131" t="s">
        <v>1111</v>
      </c>
      <c r="C131" t="s">
        <v>249</v>
      </c>
      <c r="D131" t="s">
        <v>1564</v>
      </c>
      <c r="F131" t="s">
        <v>1367</v>
      </c>
    </row>
    <row r="132" spans="1:7" x14ac:dyDescent="0.2">
      <c r="A132" t="s">
        <v>59</v>
      </c>
      <c r="B132" t="s">
        <v>1112</v>
      </c>
      <c r="C132" t="s">
        <v>249</v>
      </c>
      <c r="F132" t="s">
        <v>1565</v>
      </c>
    </row>
    <row r="133" spans="1:7" x14ac:dyDescent="0.2">
      <c r="A133" t="s">
        <v>59</v>
      </c>
      <c r="B133" t="s">
        <v>1113</v>
      </c>
      <c r="C133" t="s">
        <v>249</v>
      </c>
      <c r="D133" t="s">
        <v>1566</v>
      </c>
      <c r="F133" t="s">
        <v>1457</v>
      </c>
    </row>
    <row r="134" spans="1:7" x14ac:dyDescent="0.2">
      <c r="A134" t="s">
        <v>43</v>
      </c>
      <c r="B134" t="s">
        <v>1114</v>
      </c>
      <c r="C134" t="s">
        <v>315</v>
      </c>
      <c r="D134" t="s">
        <v>1567</v>
      </c>
      <c r="E134" t="s">
        <v>1510</v>
      </c>
      <c r="G134" t="s">
        <v>1423</v>
      </c>
    </row>
    <row r="135" spans="1:7" x14ac:dyDescent="0.2">
      <c r="A135" t="s">
        <v>43</v>
      </c>
      <c r="B135" t="s">
        <v>91</v>
      </c>
      <c r="C135" t="s">
        <v>249</v>
      </c>
      <c r="D135" t="s">
        <v>1424</v>
      </c>
      <c r="G135" t="s">
        <v>1423</v>
      </c>
    </row>
    <row r="136" spans="1:7" x14ac:dyDescent="0.2">
      <c r="A136" t="s">
        <v>43</v>
      </c>
      <c r="B136" t="s">
        <v>1115</v>
      </c>
      <c r="C136" t="s">
        <v>249</v>
      </c>
      <c r="G136" t="s">
        <v>1568</v>
      </c>
    </row>
    <row r="137" spans="1:7" x14ac:dyDescent="0.2">
      <c r="A137" t="s">
        <v>43</v>
      </c>
      <c r="B137" t="s">
        <v>1116</v>
      </c>
      <c r="C137" t="s">
        <v>249</v>
      </c>
      <c r="D137" t="s">
        <v>277</v>
      </c>
      <c r="G137" t="s">
        <v>1423</v>
      </c>
    </row>
    <row r="138" spans="1:7" x14ac:dyDescent="0.2">
      <c r="A138" t="s">
        <v>1551</v>
      </c>
      <c r="B138" t="s">
        <v>1117</v>
      </c>
      <c r="C138" t="s">
        <v>303</v>
      </c>
      <c r="D138" t="s">
        <v>1117</v>
      </c>
    </row>
    <row r="139" spans="1:7" x14ac:dyDescent="0.2">
      <c r="A139" t="s">
        <v>1551</v>
      </c>
      <c r="B139" t="s">
        <v>1118</v>
      </c>
      <c r="C139" t="s">
        <v>249</v>
      </c>
      <c r="E139" t="s">
        <v>1569</v>
      </c>
      <c r="G139" t="s">
        <v>1570</v>
      </c>
    </row>
    <row r="140" spans="1:7" x14ac:dyDescent="0.2">
      <c r="A140" t="s">
        <v>688</v>
      </c>
      <c r="B140" t="s">
        <v>1119</v>
      </c>
      <c r="C140" t="s">
        <v>249</v>
      </c>
      <c r="E140" t="s">
        <v>1571</v>
      </c>
      <c r="F140" t="s">
        <v>1370</v>
      </c>
      <c r="G140" t="s">
        <v>1572</v>
      </c>
    </row>
    <row r="141" spans="1:7" x14ac:dyDescent="0.2">
      <c r="A141" t="s">
        <v>1551</v>
      </c>
      <c r="B141" t="s">
        <v>1573</v>
      </c>
      <c r="C141" t="s">
        <v>249</v>
      </c>
      <c r="G141" t="s">
        <v>1574</v>
      </c>
    </row>
    <row r="142" spans="1:7" x14ac:dyDescent="0.2">
      <c r="A142" t="s">
        <v>1551</v>
      </c>
      <c r="B142" t="s">
        <v>1120</v>
      </c>
      <c r="C142" t="s">
        <v>306</v>
      </c>
      <c r="F142" t="s">
        <v>1575</v>
      </c>
    </row>
    <row r="143" spans="1:7" x14ac:dyDescent="0.2">
      <c r="A143" t="s">
        <v>1379</v>
      </c>
      <c r="B143" t="s">
        <v>1121</v>
      </c>
      <c r="C143" t="s">
        <v>249</v>
      </c>
      <c r="D143" t="s">
        <v>1576</v>
      </c>
      <c r="G143" t="s">
        <v>1577</v>
      </c>
    </row>
    <row r="144" spans="1:7" x14ac:dyDescent="0.2">
      <c r="A144" t="s">
        <v>1379</v>
      </c>
      <c r="B144" t="s">
        <v>1122</v>
      </c>
      <c r="C144" t="s">
        <v>249</v>
      </c>
      <c r="D144" t="s">
        <v>1578</v>
      </c>
      <c r="E144" t="s">
        <v>1521</v>
      </c>
      <c r="F144" t="s">
        <v>1381</v>
      </c>
    </row>
    <row r="145" spans="1:7" x14ac:dyDescent="0.2">
      <c r="A145" t="s">
        <v>1379</v>
      </c>
      <c r="B145" t="s">
        <v>1123</v>
      </c>
      <c r="C145" t="s">
        <v>249</v>
      </c>
      <c r="D145" t="s">
        <v>1579</v>
      </c>
      <c r="E145" t="s">
        <v>1521</v>
      </c>
      <c r="F145" t="s">
        <v>1381</v>
      </c>
      <c r="G145" t="s">
        <v>1580</v>
      </c>
    </row>
    <row r="146" spans="1:7" x14ac:dyDescent="0.2">
      <c r="A146" t="s">
        <v>280</v>
      </c>
      <c r="B146" t="s">
        <v>336</v>
      </c>
      <c r="C146" t="s">
        <v>642</v>
      </c>
      <c r="D146" t="s">
        <v>336</v>
      </c>
    </row>
    <row r="147" spans="1:7" x14ac:dyDescent="0.2">
      <c r="A147" t="s">
        <v>280</v>
      </c>
      <c r="B147" t="s">
        <v>1124</v>
      </c>
      <c r="C147" t="s">
        <v>642</v>
      </c>
      <c r="D147" t="s">
        <v>1124</v>
      </c>
    </row>
    <row r="148" spans="1:7" x14ac:dyDescent="0.2">
      <c r="A148" t="s">
        <v>1379</v>
      </c>
      <c r="B148" t="s">
        <v>1125</v>
      </c>
      <c r="C148" t="s">
        <v>642</v>
      </c>
      <c r="D148" t="s">
        <v>1581</v>
      </c>
      <c r="G148" t="s">
        <v>1582</v>
      </c>
    </row>
    <row r="149" spans="1:7" x14ac:dyDescent="0.2">
      <c r="A149" t="s">
        <v>1379</v>
      </c>
      <c r="B149" t="s">
        <v>1126</v>
      </c>
      <c r="C149" t="s">
        <v>642</v>
      </c>
      <c r="D149" t="s">
        <v>1583</v>
      </c>
      <c r="G149" t="s">
        <v>1582</v>
      </c>
    </row>
    <row r="150" spans="1:7" x14ac:dyDescent="0.2">
      <c r="A150" t="s">
        <v>50</v>
      </c>
      <c r="B150" t="s">
        <v>1127</v>
      </c>
      <c r="C150" t="s">
        <v>252</v>
      </c>
      <c r="D150" t="s">
        <v>1463</v>
      </c>
      <c r="F150" t="s">
        <v>1381</v>
      </c>
      <c r="G150" t="s">
        <v>1584</v>
      </c>
    </row>
    <row r="151" spans="1:7" x14ac:dyDescent="0.2">
      <c r="A151" t="s">
        <v>59</v>
      </c>
      <c r="B151" t="s">
        <v>1128</v>
      </c>
      <c r="C151" t="s">
        <v>7</v>
      </c>
      <c r="D151" t="s">
        <v>1585</v>
      </c>
      <c r="F151" t="s">
        <v>1457</v>
      </c>
      <c r="G151" t="s">
        <v>1586</v>
      </c>
    </row>
    <row r="152" spans="1:7" x14ac:dyDescent="0.2">
      <c r="A152" t="s">
        <v>59</v>
      </c>
      <c r="B152" t="s">
        <v>1129</v>
      </c>
      <c r="C152" t="s">
        <v>7</v>
      </c>
      <c r="D152" t="s">
        <v>1587</v>
      </c>
      <c r="F152" t="s">
        <v>1367</v>
      </c>
      <c r="G152" t="s">
        <v>1588</v>
      </c>
    </row>
    <row r="153" spans="1:7" x14ac:dyDescent="0.2">
      <c r="A153" t="s">
        <v>1379</v>
      </c>
      <c r="B153" t="s">
        <v>1130</v>
      </c>
      <c r="C153" t="s">
        <v>7</v>
      </c>
      <c r="D153" t="s">
        <v>1589</v>
      </c>
      <c r="F153" t="s">
        <v>1457</v>
      </c>
      <c r="G153" t="s">
        <v>1490</v>
      </c>
    </row>
    <row r="154" spans="1:7" x14ac:dyDescent="0.2">
      <c r="A154" t="s">
        <v>1379</v>
      </c>
      <c r="B154" t="s">
        <v>1131</v>
      </c>
      <c r="C154" t="s">
        <v>7</v>
      </c>
      <c r="D154" t="s">
        <v>1590</v>
      </c>
      <c r="F154" t="s">
        <v>1457</v>
      </c>
      <c r="G154" t="s">
        <v>1490</v>
      </c>
    </row>
    <row r="155" spans="1:7" x14ac:dyDescent="0.2">
      <c r="A155" t="s">
        <v>50</v>
      </c>
      <c r="B155" t="s">
        <v>346</v>
      </c>
      <c r="C155" t="s">
        <v>7</v>
      </c>
      <c r="D155" t="s">
        <v>346</v>
      </c>
    </row>
    <row r="156" spans="1:7" x14ac:dyDescent="0.2">
      <c r="A156" t="s">
        <v>50</v>
      </c>
      <c r="B156" t="s">
        <v>1434</v>
      </c>
      <c r="C156" t="s">
        <v>7</v>
      </c>
      <c r="D156" t="s">
        <v>1435</v>
      </c>
      <c r="F156" t="s">
        <v>1370</v>
      </c>
      <c r="G156" t="s">
        <v>1429</v>
      </c>
    </row>
    <row r="157" spans="1:7" x14ac:dyDescent="0.2">
      <c r="A157" t="s">
        <v>1379</v>
      </c>
      <c r="B157" t="s">
        <v>1591</v>
      </c>
      <c r="C157" t="s">
        <v>1592</v>
      </c>
      <c r="D157" t="s">
        <v>1593</v>
      </c>
      <c r="F157" t="s">
        <v>1457</v>
      </c>
      <c r="G157" t="s">
        <v>1594</v>
      </c>
    </row>
    <row r="158" spans="1:7" x14ac:dyDescent="0.2">
      <c r="A158" t="s">
        <v>59</v>
      </c>
      <c r="B158" t="s">
        <v>1132</v>
      </c>
      <c r="C158" t="s">
        <v>354</v>
      </c>
      <c r="D158" t="s">
        <v>1595</v>
      </c>
      <c r="G158" t="s">
        <v>1596</v>
      </c>
    </row>
    <row r="159" spans="1:7" x14ac:dyDescent="0.2">
      <c r="A159" t="s">
        <v>59</v>
      </c>
      <c r="B159" t="s">
        <v>1133</v>
      </c>
      <c r="C159" t="s">
        <v>7</v>
      </c>
      <c r="D159" t="s">
        <v>1597</v>
      </c>
      <c r="G159" t="s">
        <v>1598</v>
      </c>
    </row>
    <row r="160" spans="1:7" x14ac:dyDescent="0.2">
      <c r="A160" t="s">
        <v>59</v>
      </c>
      <c r="B160" t="s">
        <v>1134</v>
      </c>
      <c r="C160" t="s">
        <v>249</v>
      </c>
      <c r="D160" t="s">
        <v>1599</v>
      </c>
      <c r="F160" t="s">
        <v>1600</v>
      </c>
    </row>
    <row r="161" spans="1:7" x14ac:dyDescent="0.2">
      <c r="A161" t="s">
        <v>688</v>
      </c>
      <c r="B161" t="s">
        <v>1135</v>
      </c>
      <c r="C161" t="s">
        <v>252</v>
      </c>
      <c r="D161" t="s">
        <v>1601</v>
      </c>
      <c r="F161" t="s">
        <v>1370</v>
      </c>
    </row>
    <row r="162" spans="1:7" x14ac:dyDescent="0.2">
      <c r="A162" t="s">
        <v>1602</v>
      </c>
      <c r="B162" t="s">
        <v>358</v>
      </c>
      <c r="C162" t="s">
        <v>356</v>
      </c>
      <c r="D162" t="s">
        <v>1603</v>
      </c>
      <c r="F162" t="s">
        <v>1604</v>
      </c>
    </row>
    <row r="163" spans="1:7" x14ac:dyDescent="0.2">
      <c r="A163" t="s">
        <v>1602</v>
      </c>
      <c r="B163" t="s">
        <v>1136</v>
      </c>
      <c r="C163" t="s">
        <v>1605</v>
      </c>
      <c r="D163" t="s">
        <v>1606</v>
      </c>
      <c r="F163" t="s">
        <v>1367</v>
      </c>
      <c r="G163" t="s">
        <v>1607</v>
      </c>
    </row>
    <row r="164" spans="1:7" x14ac:dyDescent="0.2">
      <c r="A164" t="s">
        <v>688</v>
      </c>
      <c r="B164" t="s">
        <v>1137</v>
      </c>
      <c r="C164" t="s">
        <v>252</v>
      </c>
      <c r="D164" t="s">
        <v>1608</v>
      </c>
      <c r="G164" t="s">
        <v>1609</v>
      </c>
    </row>
    <row r="165" spans="1:7" x14ac:dyDescent="0.2">
      <c r="A165" t="s">
        <v>43</v>
      </c>
      <c r="B165" t="s">
        <v>1138</v>
      </c>
      <c r="C165" t="s">
        <v>7</v>
      </c>
      <c r="D165" t="s">
        <v>1610</v>
      </c>
      <c r="G165" t="s">
        <v>1611</v>
      </c>
    </row>
    <row r="166" spans="1:7" x14ac:dyDescent="0.2">
      <c r="A166" t="s">
        <v>43</v>
      </c>
      <c r="B166" t="s">
        <v>1139</v>
      </c>
      <c r="C166" t="s">
        <v>7</v>
      </c>
      <c r="D166" t="s">
        <v>1612</v>
      </c>
      <c r="G166" t="s">
        <v>1611</v>
      </c>
    </row>
    <row r="167" spans="1:7" x14ac:dyDescent="0.2">
      <c r="A167" t="s">
        <v>1613</v>
      </c>
      <c r="B167" t="s">
        <v>360</v>
      </c>
      <c r="C167" t="s">
        <v>7</v>
      </c>
      <c r="D167" t="s">
        <v>360</v>
      </c>
    </row>
    <row r="168" spans="1:7" x14ac:dyDescent="0.2">
      <c r="A168" t="s">
        <v>1614</v>
      </c>
      <c r="B168" t="s">
        <v>362</v>
      </c>
      <c r="C168" t="s">
        <v>7</v>
      </c>
      <c r="D168" t="s">
        <v>362</v>
      </c>
    </row>
    <row r="169" spans="1:7" x14ac:dyDescent="0.2">
      <c r="A169" t="s">
        <v>1614</v>
      </c>
      <c r="B169" t="s">
        <v>361</v>
      </c>
      <c r="C169" t="s">
        <v>7</v>
      </c>
      <c r="D169" t="s">
        <v>361</v>
      </c>
    </row>
    <row r="170" spans="1:7" x14ac:dyDescent="0.2">
      <c r="A170" t="s">
        <v>1613</v>
      </c>
      <c r="B170" t="s">
        <v>364</v>
      </c>
      <c r="C170" t="s">
        <v>7</v>
      </c>
      <c r="G170" t="s">
        <v>364</v>
      </c>
    </row>
    <row r="171" spans="1:7" x14ac:dyDescent="0.2">
      <c r="A171" t="s">
        <v>393</v>
      </c>
      <c r="B171" t="s">
        <v>757</v>
      </c>
      <c r="C171" t="s">
        <v>394</v>
      </c>
      <c r="D171" t="s">
        <v>757</v>
      </c>
    </row>
    <row r="172" spans="1:7" x14ac:dyDescent="0.2">
      <c r="A172" t="s">
        <v>393</v>
      </c>
      <c r="B172" t="s">
        <v>758</v>
      </c>
      <c r="C172" t="s">
        <v>394</v>
      </c>
      <c r="D172" t="s">
        <v>758</v>
      </c>
    </row>
    <row r="173" spans="1:7" x14ac:dyDescent="0.2">
      <c r="A173" t="s">
        <v>393</v>
      </c>
      <c r="B173" t="s">
        <v>759</v>
      </c>
      <c r="C173" t="s">
        <v>394</v>
      </c>
      <c r="D173" t="s">
        <v>759</v>
      </c>
    </row>
    <row r="174" spans="1:7" x14ac:dyDescent="0.2">
      <c r="A174" t="s">
        <v>393</v>
      </c>
      <c r="B174" t="s">
        <v>760</v>
      </c>
      <c r="C174" t="s">
        <v>394</v>
      </c>
      <c r="D174" t="s">
        <v>760</v>
      </c>
    </row>
    <row r="175" spans="1:7" x14ac:dyDescent="0.2">
      <c r="A175" t="s">
        <v>393</v>
      </c>
      <c r="B175" t="s">
        <v>761</v>
      </c>
      <c r="C175" t="s">
        <v>394</v>
      </c>
      <c r="D175" t="s">
        <v>761</v>
      </c>
    </row>
    <row r="176" spans="1:7" x14ac:dyDescent="0.2">
      <c r="A176" t="s">
        <v>393</v>
      </c>
      <c r="B176" t="s">
        <v>762</v>
      </c>
      <c r="C176" t="s">
        <v>394</v>
      </c>
      <c r="G176" t="s">
        <v>762</v>
      </c>
    </row>
    <row r="177" spans="1:7" x14ac:dyDescent="0.2">
      <c r="A177" t="s">
        <v>393</v>
      </c>
      <c r="B177" t="s">
        <v>1140</v>
      </c>
      <c r="C177" t="s">
        <v>7</v>
      </c>
      <c r="D177" t="s">
        <v>1140</v>
      </c>
    </row>
    <row r="178" spans="1:7" x14ac:dyDescent="0.2">
      <c r="A178" t="s">
        <v>393</v>
      </c>
      <c r="B178" t="s">
        <v>1141</v>
      </c>
      <c r="C178" t="s">
        <v>249</v>
      </c>
      <c r="D178" t="s">
        <v>1141</v>
      </c>
    </row>
    <row r="179" spans="1:7" x14ac:dyDescent="0.2">
      <c r="A179" t="s">
        <v>1379</v>
      </c>
      <c r="B179" t="s">
        <v>1142</v>
      </c>
      <c r="C179" t="s">
        <v>399</v>
      </c>
      <c r="F179" t="s">
        <v>1615</v>
      </c>
      <c r="G179" t="s">
        <v>1616</v>
      </c>
    </row>
    <row r="180" spans="1:7" x14ac:dyDescent="0.2">
      <c r="A180" t="s">
        <v>1379</v>
      </c>
      <c r="B180" t="s">
        <v>1143</v>
      </c>
      <c r="C180" t="s">
        <v>399</v>
      </c>
      <c r="D180" t="s">
        <v>1617</v>
      </c>
      <c r="F180" t="s">
        <v>1615</v>
      </c>
    </row>
    <row r="181" spans="1:7" x14ac:dyDescent="0.2">
      <c r="A181" t="s">
        <v>1379</v>
      </c>
      <c r="B181" t="s">
        <v>1618</v>
      </c>
      <c r="C181" t="s">
        <v>399</v>
      </c>
      <c r="E181" t="s">
        <v>1619</v>
      </c>
      <c r="F181" t="s">
        <v>1620</v>
      </c>
    </row>
    <row r="182" spans="1:7" x14ac:dyDescent="0.2">
      <c r="A182" t="s">
        <v>43</v>
      </c>
      <c r="B182" t="s">
        <v>1144</v>
      </c>
      <c r="C182" t="s">
        <v>62</v>
      </c>
      <c r="E182" t="s">
        <v>1502</v>
      </c>
      <c r="G182" t="s">
        <v>1568</v>
      </c>
    </row>
    <row r="183" spans="1:7" x14ac:dyDescent="0.2">
      <c r="A183" t="s">
        <v>50</v>
      </c>
      <c r="B183" t="s">
        <v>1621</v>
      </c>
      <c r="C183" t="s">
        <v>7</v>
      </c>
      <c r="D183" t="s">
        <v>1622</v>
      </c>
      <c r="G183" t="s">
        <v>1623</v>
      </c>
    </row>
    <row r="184" spans="1:7" x14ac:dyDescent="0.2">
      <c r="A184" t="s">
        <v>59</v>
      </c>
      <c r="B184" t="s">
        <v>1145</v>
      </c>
      <c r="C184" t="s">
        <v>7</v>
      </c>
      <c r="D184" t="s">
        <v>1624</v>
      </c>
      <c r="F184" t="s">
        <v>1367</v>
      </c>
    </row>
    <row r="185" spans="1:7" x14ac:dyDescent="0.2">
      <c r="A185" t="s">
        <v>59</v>
      </c>
      <c r="B185" t="s">
        <v>1146</v>
      </c>
      <c r="C185" t="s">
        <v>7</v>
      </c>
      <c r="D185" t="s">
        <v>1625</v>
      </c>
      <c r="F185" t="s">
        <v>1367</v>
      </c>
    </row>
    <row r="186" spans="1:7" x14ac:dyDescent="0.2">
      <c r="A186" t="s">
        <v>1379</v>
      </c>
      <c r="B186" t="s">
        <v>1626</v>
      </c>
      <c r="C186" t="s">
        <v>399</v>
      </c>
      <c r="F186" t="s">
        <v>1627</v>
      </c>
      <c r="G186" t="s">
        <v>1628</v>
      </c>
    </row>
    <row r="187" spans="1:7" x14ac:dyDescent="0.2">
      <c r="A187" t="s">
        <v>1379</v>
      </c>
      <c r="B187" t="s">
        <v>1629</v>
      </c>
      <c r="C187" t="s">
        <v>399</v>
      </c>
      <c r="E187" t="s">
        <v>1630</v>
      </c>
      <c r="F187" t="s">
        <v>1631</v>
      </c>
    </row>
    <row r="188" spans="1:7" x14ac:dyDescent="0.2">
      <c r="A188" t="s">
        <v>1379</v>
      </c>
      <c r="B188" t="s">
        <v>1632</v>
      </c>
      <c r="C188" t="s">
        <v>1547</v>
      </c>
      <c r="F188" t="s">
        <v>1633</v>
      </c>
      <c r="G188" t="s">
        <v>1634</v>
      </c>
    </row>
    <row r="189" spans="1:7" x14ac:dyDescent="0.2">
      <c r="A189" t="s">
        <v>50</v>
      </c>
      <c r="B189" t="s">
        <v>1147</v>
      </c>
      <c r="C189" t="s">
        <v>7</v>
      </c>
      <c r="D189" t="s">
        <v>1635</v>
      </c>
      <c r="F189" t="s">
        <v>1370</v>
      </c>
      <c r="G189" t="s">
        <v>1636</v>
      </c>
    </row>
    <row r="190" spans="1:7" x14ac:dyDescent="0.2">
      <c r="A190" t="s">
        <v>1379</v>
      </c>
      <c r="B190" t="s">
        <v>1637</v>
      </c>
      <c r="C190" t="s">
        <v>1547</v>
      </c>
      <c r="D190" t="s">
        <v>1638</v>
      </c>
      <c r="F190" t="s">
        <v>1639</v>
      </c>
    </row>
    <row r="191" spans="1:7" x14ac:dyDescent="0.2">
      <c r="A191" t="s">
        <v>1379</v>
      </c>
      <c r="B191" t="s">
        <v>1148</v>
      </c>
      <c r="C191" t="s">
        <v>7</v>
      </c>
      <c r="D191" t="s">
        <v>1640</v>
      </c>
      <c r="F191" t="s">
        <v>1370</v>
      </c>
    </row>
    <row r="192" spans="1:7" x14ac:dyDescent="0.2">
      <c r="A192" t="s">
        <v>688</v>
      </c>
      <c r="B192" t="s">
        <v>1149</v>
      </c>
      <c r="C192" t="s">
        <v>354</v>
      </c>
      <c r="D192" t="s">
        <v>1641</v>
      </c>
      <c r="F192" t="s">
        <v>1370</v>
      </c>
    </row>
    <row r="193" spans="1:7" x14ac:dyDescent="0.2">
      <c r="A193" t="s">
        <v>1379</v>
      </c>
      <c r="B193" t="s">
        <v>1642</v>
      </c>
      <c r="C193" t="s">
        <v>399</v>
      </c>
      <c r="D193" t="s">
        <v>1643</v>
      </c>
      <c r="F193" t="s">
        <v>1644</v>
      </c>
    </row>
    <row r="194" spans="1:7" x14ac:dyDescent="0.2">
      <c r="A194" t="s">
        <v>1379</v>
      </c>
      <c r="B194" t="s">
        <v>1642</v>
      </c>
      <c r="C194" t="s">
        <v>249</v>
      </c>
      <c r="D194" t="s">
        <v>1643</v>
      </c>
      <c r="F194" t="s">
        <v>1644</v>
      </c>
    </row>
    <row r="195" spans="1:7" x14ac:dyDescent="0.2">
      <c r="A195" t="s">
        <v>1379</v>
      </c>
      <c r="B195" t="s">
        <v>1645</v>
      </c>
      <c r="C195" t="s">
        <v>399</v>
      </c>
      <c r="F195" t="s">
        <v>1644</v>
      </c>
      <c r="G195" t="s">
        <v>1636</v>
      </c>
    </row>
    <row r="196" spans="1:7" x14ac:dyDescent="0.2">
      <c r="A196" t="s">
        <v>1379</v>
      </c>
      <c r="B196" t="s">
        <v>1150</v>
      </c>
      <c r="C196" t="s">
        <v>7</v>
      </c>
      <c r="D196" t="s">
        <v>1646</v>
      </c>
      <c r="F196" t="s">
        <v>1367</v>
      </c>
    </row>
    <row r="197" spans="1:7" x14ac:dyDescent="0.2">
      <c r="A197" t="s">
        <v>688</v>
      </c>
      <c r="B197" t="s">
        <v>1123</v>
      </c>
      <c r="C197" t="s">
        <v>7</v>
      </c>
      <c r="D197" t="s">
        <v>1579</v>
      </c>
      <c r="E197" t="s">
        <v>1521</v>
      </c>
      <c r="F197" t="s">
        <v>1381</v>
      </c>
      <c r="G197" t="s">
        <v>1580</v>
      </c>
    </row>
    <row r="198" spans="1:7" x14ac:dyDescent="0.2">
      <c r="A198" t="s">
        <v>1379</v>
      </c>
      <c r="B198" t="s">
        <v>1151</v>
      </c>
      <c r="C198" t="s">
        <v>1547</v>
      </c>
      <c r="D198" t="s">
        <v>1647</v>
      </c>
      <c r="F198" t="s">
        <v>1370</v>
      </c>
      <c r="G198" t="s">
        <v>1648</v>
      </c>
    </row>
    <row r="199" spans="1:7" x14ac:dyDescent="0.2">
      <c r="A199" t="s">
        <v>1379</v>
      </c>
      <c r="B199" t="s">
        <v>1152</v>
      </c>
      <c r="C199" t="s">
        <v>7</v>
      </c>
      <c r="D199" t="s">
        <v>1649</v>
      </c>
      <c r="F199" t="s">
        <v>1367</v>
      </c>
      <c r="G199" t="s">
        <v>1650</v>
      </c>
    </row>
    <row r="200" spans="1:7" x14ac:dyDescent="0.2">
      <c r="A200" t="s">
        <v>688</v>
      </c>
      <c r="B200" t="s">
        <v>1153</v>
      </c>
      <c r="C200" t="s">
        <v>7</v>
      </c>
      <c r="D200" t="s">
        <v>1651</v>
      </c>
      <c r="F200" t="s">
        <v>1652</v>
      </c>
    </row>
    <row r="201" spans="1:7" x14ac:dyDescent="0.2">
      <c r="A201" t="s">
        <v>688</v>
      </c>
      <c r="B201" t="s">
        <v>1154</v>
      </c>
      <c r="C201" t="s">
        <v>252</v>
      </c>
      <c r="D201" t="s">
        <v>1653</v>
      </c>
    </row>
    <row r="202" spans="1:7" x14ac:dyDescent="0.2">
      <c r="A202" t="s">
        <v>688</v>
      </c>
      <c r="B202" t="s">
        <v>1654</v>
      </c>
      <c r="C202" t="s">
        <v>249</v>
      </c>
      <c r="D202" t="s">
        <v>1643</v>
      </c>
      <c r="E202" t="s">
        <v>1655</v>
      </c>
      <c r="F202" t="s">
        <v>1656</v>
      </c>
    </row>
    <row r="203" spans="1:7" x14ac:dyDescent="0.2">
      <c r="A203" t="s">
        <v>59</v>
      </c>
      <c r="B203" t="s">
        <v>1155</v>
      </c>
      <c r="C203" t="s">
        <v>7</v>
      </c>
      <c r="D203" t="s">
        <v>1657</v>
      </c>
      <c r="F203" t="s">
        <v>1381</v>
      </c>
      <c r="G203" t="s">
        <v>1658</v>
      </c>
    </row>
    <row r="204" spans="1:7" x14ac:dyDescent="0.2">
      <c r="A204" t="s">
        <v>688</v>
      </c>
      <c r="B204" t="s">
        <v>1659</v>
      </c>
      <c r="C204" t="s">
        <v>252</v>
      </c>
      <c r="D204" t="s">
        <v>1660</v>
      </c>
      <c r="F204" t="s">
        <v>1661</v>
      </c>
      <c r="G204" t="s">
        <v>1662</v>
      </c>
    </row>
    <row r="205" spans="1:7" x14ac:dyDescent="0.2">
      <c r="A205" t="s">
        <v>50</v>
      </c>
      <c r="B205" t="s">
        <v>1156</v>
      </c>
      <c r="C205" t="s">
        <v>7</v>
      </c>
      <c r="D205" t="s">
        <v>1663</v>
      </c>
      <c r="F205" t="s">
        <v>1664</v>
      </c>
    </row>
    <row r="206" spans="1:7" x14ac:dyDescent="0.2">
      <c r="A206" t="s">
        <v>589</v>
      </c>
      <c r="B206" t="s">
        <v>1665</v>
      </c>
      <c r="C206" t="s">
        <v>7</v>
      </c>
      <c r="D206" t="s">
        <v>1666</v>
      </c>
      <c r="E206" t="s">
        <v>1469</v>
      </c>
    </row>
    <row r="207" spans="1:7" x14ac:dyDescent="0.2">
      <c r="A207" t="s">
        <v>589</v>
      </c>
      <c r="B207" t="s">
        <v>1667</v>
      </c>
      <c r="C207" t="s">
        <v>7</v>
      </c>
      <c r="E207" t="s">
        <v>1668</v>
      </c>
    </row>
    <row r="208" spans="1:7" x14ac:dyDescent="0.2">
      <c r="A208" t="s">
        <v>589</v>
      </c>
      <c r="B208" t="s">
        <v>1669</v>
      </c>
      <c r="C208" t="s">
        <v>7</v>
      </c>
      <c r="E208" t="s">
        <v>1670</v>
      </c>
      <c r="G208" t="s">
        <v>1467</v>
      </c>
    </row>
    <row r="209" spans="1:7" x14ac:dyDescent="0.2">
      <c r="A209" t="s">
        <v>1505</v>
      </c>
      <c r="B209" t="s">
        <v>1671</v>
      </c>
      <c r="C209" t="s">
        <v>7</v>
      </c>
      <c r="E209" t="s">
        <v>1672</v>
      </c>
      <c r="G209" t="s">
        <v>1673</v>
      </c>
    </row>
    <row r="210" spans="1:7" x14ac:dyDescent="0.2">
      <c r="A210" t="s">
        <v>1505</v>
      </c>
      <c r="B210" t="s">
        <v>1674</v>
      </c>
      <c r="C210" t="s">
        <v>7</v>
      </c>
      <c r="D210" t="s">
        <v>1675</v>
      </c>
      <c r="E210" t="s">
        <v>1672</v>
      </c>
      <c r="G210" t="s">
        <v>1676</v>
      </c>
    </row>
    <row r="211" spans="1:7" x14ac:dyDescent="0.2">
      <c r="A211" t="s">
        <v>1379</v>
      </c>
      <c r="B211" t="s">
        <v>1157</v>
      </c>
      <c r="C211" t="s">
        <v>7</v>
      </c>
      <c r="D211" t="s">
        <v>1677</v>
      </c>
      <c r="G211" t="s">
        <v>1678</v>
      </c>
    </row>
    <row r="212" spans="1:7" x14ac:dyDescent="0.2">
      <c r="A212" t="s">
        <v>1679</v>
      </c>
      <c r="B212" t="s">
        <v>1158</v>
      </c>
      <c r="C212" t="s">
        <v>7</v>
      </c>
      <c r="D212" t="s">
        <v>1158</v>
      </c>
    </row>
    <row r="213" spans="1:7" x14ac:dyDescent="0.2">
      <c r="A213" t="s">
        <v>280</v>
      </c>
      <c r="B213" t="s">
        <v>1159</v>
      </c>
      <c r="C213" t="s">
        <v>642</v>
      </c>
      <c r="D213" t="s">
        <v>1159</v>
      </c>
    </row>
    <row r="214" spans="1:7" x14ac:dyDescent="0.2">
      <c r="A214" t="s">
        <v>280</v>
      </c>
      <c r="B214" t="s">
        <v>1680</v>
      </c>
      <c r="C214" t="s">
        <v>7</v>
      </c>
      <c r="F214" t="s">
        <v>1681</v>
      </c>
      <c r="G214" t="s">
        <v>1682</v>
      </c>
    </row>
    <row r="215" spans="1:7" x14ac:dyDescent="0.2">
      <c r="A215" t="s">
        <v>280</v>
      </c>
      <c r="B215" t="s">
        <v>1680</v>
      </c>
      <c r="C215" t="s">
        <v>477</v>
      </c>
      <c r="F215" t="s">
        <v>1681</v>
      </c>
      <c r="G215" t="s">
        <v>1682</v>
      </c>
    </row>
    <row r="216" spans="1:7" x14ac:dyDescent="0.2">
      <c r="A216" t="s">
        <v>1379</v>
      </c>
      <c r="B216" t="s">
        <v>1160</v>
      </c>
      <c r="C216" t="s">
        <v>7</v>
      </c>
      <c r="D216" t="s">
        <v>1683</v>
      </c>
      <c r="F216" t="s">
        <v>1684</v>
      </c>
    </row>
    <row r="217" spans="1:7" x14ac:dyDescent="0.2">
      <c r="A217" t="s">
        <v>1379</v>
      </c>
      <c r="B217" t="s">
        <v>1161</v>
      </c>
      <c r="C217" t="s">
        <v>354</v>
      </c>
      <c r="D217" t="s">
        <v>1685</v>
      </c>
      <c r="F217" t="s">
        <v>1381</v>
      </c>
      <c r="G217" t="s">
        <v>1484</v>
      </c>
    </row>
    <row r="218" spans="1:7" x14ac:dyDescent="0.2">
      <c r="A218" t="s">
        <v>1379</v>
      </c>
      <c r="B218" t="s">
        <v>1162</v>
      </c>
      <c r="C218" t="s">
        <v>7</v>
      </c>
      <c r="D218" t="s">
        <v>1686</v>
      </c>
      <c r="F218" t="s">
        <v>1687</v>
      </c>
      <c r="G218" t="s">
        <v>1688</v>
      </c>
    </row>
    <row r="219" spans="1:7" x14ac:dyDescent="0.2">
      <c r="A219" t="s">
        <v>1379</v>
      </c>
      <c r="B219" t="s">
        <v>1162</v>
      </c>
      <c r="C219" t="s">
        <v>1547</v>
      </c>
      <c r="D219" t="s">
        <v>1686</v>
      </c>
      <c r="F219" t="s">
        <v>1687</v>
      </c>
      <c r="G219" t="s">
        <v>1688</v>
      </c>
    </row>
    <row r="220" spans="1:7" x14ac:dyDescent="0.2">
      <c r="A220" t="s">
        <v>1379</v>
      </c>
      <c r="B220" t="s">
        <v>1689</v>
      </c>
      <c r="C220" t="s">
        <v>7</v>
      </c>
      <c r="D220" t="s">
        <v>1690</v>
      </c>
      <c r="G220" t="s">
        <v>1691</v>
      </c>
    </row>
    <row r="221" spans="1:7" x14ac:dyDescent="0.2">
      <c r="A221" t="s">
        <v>1379</v>
      </c>
      <c r="B221" t="s">
        <v>1163</v>
      </c>
      <c r="C221" t="s">
        <v>7</v>
      </c>
      <c r="D221" t="s">
        <v>1692</v>
      </c>
      <c r="G221" t="s">
        <v>1693</v>
      </c>
    </row>
    <row r="222" spans="1:7" x14ac:dyDescent="0.2">
      <c r="A222" t="s">
        <v>1379</v>
      </c>
      <c r="B222" t="s">
        <v>1694</v>
      </c>
      <c r="C222" t="s">
        <v>7</v>
      </c>
      <c r="D222" t="s">
        <v>1695</v>
      </c>
      <c r="F222" t="s">
        <v>1696</v>
      </c>
      <c r="G222" t="s">
        <v>1691</v>
      </c>
    </row>
    <row r="223" spans="1:7" x14ac:dyDescent="0.2">
      <c r="A223" t="s">
        <v>50</v>
      </c>
      <c r="B223" t="s">
        <v>1164</v>
      </c>
      <c r="C223" t="s">
        <v>7</v>
      </c>
      <c r="E223" t="s">
        <v>1697</v>
      </c>
      <c r="F223" t="s">
        <v>1698</v>
      </c>
      <c r="G223" t="s">
        <v>1699</v>
      </c>
    </row>
    <row r="224" spans="1:7" x14ac:dyDescent="0.2">
      <c r="A224" t="s">
        <v>393</v>
      </c>
      <c r="B224" t="s">
        <v>1165</v>
      </c>
      <c r="C224" t="s">
        <v>486</v>
      </c>
      <c r="D224" t="s">
        <v>1165</v>
      </c>
    </row>
    <row r="225" spans="1:7" x14ac:dyDescent="0.2">
      <c r="A225" t="s">
        <v>393</v>
      </c>
      <c r="B225" t="s">
        <v>1166</v>
      </c>
      <c r="C225" t="s">
        <v>486</v>
      </c>
      <c r="D225" t="s">
        <v>1166</v>
      </c>
    </row>
    <row r="226" spans="1:7" x14ac:dyDescent="0.2">
      <c r="A226" t="s">
        <v>393</v>
      </c>
      <c r="B226" t="s">
        <v>1167</v>
      </c>
      <c r="C226" t="s">
        <v>486</v>
      </c>
      <c r="D226" t="s">
        <v>1167</v>
      </c>
    </row>
    <row r="227" spans="1:7" x14ac:dyDescent="0.2">
      <c r="A227" t="s">
        <v>393</v>
      </c>
      <c r="B227" t="s">
        <v>1168</v>
      </c>
      <c r="C227" t="s">
        <v>486</v>
      </c>
      <c r="D227" t="s">
        <v>1168</v>
      </c>
    </row>
    <row r="228" spans="1:7" x14ac:dyDescent="0.2">
      <c r="A228" t="s">
        <v>393</v>
      </c>
      <c r="B228" t="s">
        <v>1169</v>
      </c>
      <c r="C228" t="s">
        <v>486</v>
      </c>
      <c r="D228" t="s">
        <v>1700</v>
      </c>
    </row>
    <row r="229" spans="1:7" x14ac:dyDescent="0.2">
      <c r="A229" t="s">
        <v>393</v>
      </c>
      <c r="B229" t="s">
        <v>1170</v>
      </c>
      <c r="C229" t="s">
        <v>486</v>
      </c>
      <c r="D229" t="s">
        <v>1701</v>
      </c>
    </row>
    <row r="230" spans="1:7" x14ac:dyDescent="0.2">
      <c r="A230" t="s">
        <v>393</v>
      </c>
      <c r="B230" t="s">
        <v>1171</v>
      </c>
      <c r="C230" t="s">
        <v>486</v>
      </c>
      <c r="D230" t="s">
        <v>1702</v>
      </c>
    </row>
    <row r="231" spans="1:7" x14ac:dyDescent="0.2">
      <c r="A231" t="s">
        <v>393</v>
      </c>
      <c r="B231" t="s">
        <v>1172</v>
      </c>
      <c r="C231" t="s">
        <v>486</v>
      </c>
      <c r="D231" t="s">
        <v>1703</v>
      </c>
    </row>
    <row r="232" spans="1:7" x14ac:dyDescent="0.2">
      <c r="A232" t="s">
        <v>1614</v>
      </c>
      <c r="B232" t="s">
        <v>1173</v>
      </c>
      <c r="C232" t="s">
        <v>7</v>
      </c>
      <c r="D232" t="s">
        <v>1173</v>
      </c>
    </row>
    <row r="233" spans="1:7" x14ac:dyDescent="0.2">
      <c r="A233" t="s">
        <v>50</v>
      </c>
      <c r="B233" t="s">
        <v>1174</v>
      </c>
      <c r="C233" t="s">
        <v>7</v>
      </c>
      <c r="D233" t="s">
        <v>1704</v>
      </c>
      <c r="F233" t="s">
        <v>1705</v>
      </c>
    </row>
    <row r="234" spans="1:7" x14ac:dyDescent="0.2">
      <c r="A234" t="s">
        <v>50</v>
      </c>
      <c r="B234" t="s">
        <v>1175</v>
      </c>
      <c r="C234" t="s">
        <v>7</v>
      </c>
      <c r="D234" t="s">
        <v>1706</v>
      </c>
      <c r="E234" t="s">
        <v>1707</v>
      </c>
      <c r="F234" t="s">
        <v>1381</v>
      </c>
    </row>
    <row r="235" spans="1:7" x14ac:dyDescent="0.2">
      <c r="A235" t="s">
        <v>50</v>
      </c>
      <c r="B235" t="s">
        <v>1176</v>
      </c>
      <c r="C235" t="s">
        <v>7</v>
      </c>
      <c r="D235" t="s">
        <v>1708</v>
      </c>
      <c r="E235" t="s">
        <v>1707</v>
      </c>
      <c r="F235" t="s">
        <v>1381</v>
      </c>
    </row>
    <row r="236" spans="1:7" x14ac:dyDescent="0.2">
      <c r="A236" t="s">
        <v>43</v>
      </c>
      <c r="B236" t="s">
        <v>1177</v>
      </c>
      <c r="C236" t="s">
        <v>7</v>
      </c>
      <c r="D236" t="s">
        <v>1709</v>
      </c>
      <c r="G236" t="s">
        <v>1423</v>
      </c>
    </row>
    <row r="237" spans="1:7" x14ac:dyDescent="0.2">
      <c r="A237" t="s">
        <v>1379</v>
      </c>
      <c r="B237" t="s">
        <v>1178</v>
      </c>
      <c r="C237" t="s">
        <v>7</v>
      </c>
      <c r="D237" t="s">
        <v>1710</v>
      </c>
      <c r="F237" t="s">
        <v>1711</v>
      </c>
      <c r="G237" t="s">
        <v>1712</v>
      </c>
    </row>
    <row r="238" spans="1:7" x14ac:dyDescent="0.2">
      <c r="A238" t="s">
        <v>1379</v>
      </c>
      <c r="B238" t="s">
        <v>1179</v>
      </c>
      <c r="C238" t="s">
        <v>7</v>
      </c>
      <c r="D238" t="s">
        <v>1713</v>
      </c>
      <c r="G238" t="s">
        <v>1455</v>
      </c>
    </row>
    <row r="239" spans="1:7" x14ac:dyDescent="0.2">
      <c r="A239" t="s">
        <v>59</v>
      </c>
      <c r="B239" t="s">
        <v>1180</v>
      </c>
      <c r="C239" t="s">
        <v>7</v>
      </c>
      <c r="D239" t="s">
        <v>1714</v>
      </c>
      <c r="E239" t="s">
        <v>1707</v>
      </c>
      <c r="F239" t="s">
        <v>1457</v>
      </c>
      <c r="G239" t="s">
        <v>1420</v>
      </c>
    </row>
    <row r="240" spans="1:7" x14ac:dyDescent="0.2">
      <c r="A240" t="s">
        <v>1379</v>
      </c>
      <c r="B240" t="s">
        <v>1181</v>
      </c>
      <c r="C240" t="s">
        <v>520</v>
      </c>
      <c r="D240" t="s">
        <v>1715</v>
      </c>
      <c r="E240" t="s">
        <v>1716</v>
      </c>
      <c r="F240" t="s">
        <v>1367</v>
      </c>
      <c r="G240" t="s">
        <v>1717</v>
      </c>
    </row>
    <row r="241" spans="1:7" x14ac:dyDescent="0.2">
      <c r="A241" t="s">
        <v>50</v>
      </c>
      <c r="B241" t="s">
        <v>1182</v>
      </c>
      <c r="C241" t="s">
        <v>7</v>
      </c>
      <c r="D241" t="s">
        <v>1686</v>
      </c>
      <c r="E241" t="s">
        <v>1718</v>
      </c>
      <c r="F241" t="s">
        <v>1719</v>
      </c>
      <c r="G241" t="s">
        <v>1720</v>
      </c>
    </row>
    <row r="242" spans="1:7" x14ac:dyDescent="0.2">
      <c r="A242" t="s">
        <v>1379</v>
      </c>
      <c r="B242" t="s">
        <v>1183</v>
      </c>
      <c r="C242" t="s">
        <v>7</v>
      </c>
      <c r="D242" t="s">
        <v>1643</v>
      </c>
      <c r="F242" t="s">
        <v>1721</v>
      </c>
    </row>
    <row r="243" spans="1:7" x14ac:dyDescent="0.2">
      <c r="A243" t="s">
        <v>1379</v>
      </c>
      <c r="B243" t="s">
        <v>1184</v>
      </c>
      <c r="C243" t="s">
        <v>7</v>
      </c>
      <c r="D243" t="s">
        <v>1722</v>
      </c>
      <c r="F243" t="s">
        <v>1367</v>
      </c>
    </row>
    <row r="244" spans="1:7" x14ac:dyDescent="0.2">
      <c r="A244" t="s">
        <v>1379</v>
      </c>
      <c r="B244" t="s">
        <v>1185</v>
      </c>
      <c r="C244" t="s">
        <v>7</v>
      </c>
      <c r="D244" t="s">
        <v>1723</v>
      </c>
      <c r="G244" t="s">
        <v>1724</v>
      </c>
    </row>
    <row r="245" spans="1:7" x14ac:dyDescent="0.2">
      <c r="A245" t="s">
        <v>1379</v>
      </c>
      <c r="B245" t="s">
        <v>1186</v>
      </c>
      <c r="C245" t="s">
        <v>7</v>
      </c>
      <c r="D245" t="s">
        <v>1725</v>
      </c>
      <c r="E245" t="s">
        <v>1726</v>
      </c>
      <c r="F245" t="s">
        <v>1367</v>
      </c>
    </row>
    <row r="246" spans="1:7" x14ac:dyDescent="0.2">
      <c r="A246" t="s">
        <v>280</v>
      </c>
      <c r="B246" t="s">
        <v>1187</v>
      </c>
      <c r="C246" t="s">
        <v>7</v>
      </c>
      <c r="D246" t="s">
        <v>1727</v>
      </c>
      <c r="F246" t="s">
        <v>1728</v>
      </c>
    </row>
    <row r="247" spans="1:7" x14ac:dyDescent="0.2">
      <c r="A247" t="s">
        <v>1419</v>
      </c>
      <c r="B247" t="s">
        <v>1188</v>
      </c>
      <c r="C247" t="s">
        <v>7</v>
      </c>
      <c r="F247" t="s">
        <v>1381</v>
      </c>
      <c r="G247" t="s">
        <v>1729</v>
      </c>
    </row>
    <row r="248" spans="1:7" x14ac:dyDescent="0.2">
      <c r="A248" t="s">
        <v>1419</v>
      </c>
      <c r="B248" t="s">
        <v>1189</v>
      </c>
      <c r="C248" t="s">
        <v>7</v>
      </c>
      <c r="F248" t="s">
        <v>1381</v>
      </c>
      <c r="G248" t="s">
        <v>1730</v>
      </c>
    </row>
    <row r="249" spans="1:7" x14ac:dyDescent="0.2">
      <c r="A249" t="s">
        <v>1419</v>
      </c>
      <c r="B249" t="s">
        <v>1190</v>
      </c>
      <c r="C249" t="s">
        <v>7</v>
      </c>
      <c r="D249" t="s">
        <v>1410</v>
      </c>
      <c r="E249" t="s">
        <v>1718</v>
      </c>
      <c r="F249" t="s">
        <v>1367</v>
      </c>
    </row>
    <row r="250" spans="1:7" x14ac:dyDescent="0.2">
      <c r="A250" t="s">
        <v>1419</v>
      </c>
      <c r="B250" t="s">
        <v>1191</v>
      </c>
      <c r="C250" t="s">
        <v>7</v>
      </c>
      <c r="D250" t="s">
        <v>1421</v>
      </c>
      <c r="E250" t="s">
        <v>1718</v>
      </c>
      <c r="F250" t="s">
        <v>1367</v>
      </c>
    </row>
    <row r="251" spans="1:7" x14ac:dyDescent="0.2">
      <c r="A251" t="s">
        <v>1419</v>
      </c>
      <c r="B251" t="s">
        <v>1192</v>
      </c>
      <c r="C251" t="s">
        <v>7</v>
      </c>
      <c r="D251" t="s">
        <v>636</v>
      </c>
      <c r="E251" t="s">
        <v>1718</v>
      </c>
      <c r="F251" t="s">
        <v>1367</v>
      </c>
    </row>
    <row r="252" spans="1:7" x14ac:dyDescent="0.2">
      <c r="A252" t="s">
        <v>1419</v>
      </c>
      <c r="B252" t="s">
        <v>1193</v>
      </c>
      <c r="C252" t="s">
        <v>7</v>
      </c>
      <c r="D252" t="s">
        <v>277</v>
      </c>
      <c r="E252" t="s">
        <v>1718</v>
      </c>
      <c r="F252" t="s">
        <v>1367</v>
      </c>
    </row>
    <row r="253" spans="1:7" x14ac:dyDescent="0.2">
      <c r="A253" t="s">
        <v>1731</v>
      </c>
      <c r="B253" t="s">
        <v>569</v>
      </c>
      <c r="C253" t="s">
        <v>7</v>
      </c>
      <c r="D253" t="s">
        <v>569</v>
      </c>
    </row>
    <row r="254" spans="1:7" x14ac:dyDescent="0.2">
      <c r="A254" t="s">
        <v>1731</v>
      </c>
      <c r="B254" t="s">
        <v>570</v>
      </c>
      <c r="C254" t="s">
        <v>7</v>
      </c>
      <c r="D254" t="s">
        <v>570</v>
      </c>
    </row>
    <row r="255" spans="1:7" x14ac:dyDescent="0.2">
      <c r="A255" t="s">
        <v>1419</v>
      </c>
      <c r="B255" t="s">
        <v>1732</v>
      </c>
      <c r="C255" t="s">
        <v>7</v>
      </c>
      <c r="E255" t="s">
        <v>1733</v>
      </c>
      <c r="G255" t="s">
        <v>1734</v>
      </c>
    </row>
    <row r="256" spans="1:7" x14ac:dyDescent="0.2">
      <c r="A256" t="s">
        <v>1419</v>
      </c>
      <c r="B256" t="s">
        <v>1735</v>
      </c>
      <c r="C256" t="s">
        <v>7</v>
      </c>
      <c r="E256" t="s">
        <v>1736</v>
      </c>
      <c r="G256" t="s">
        <v>1734</v>
      </c>
    </row>
    <row r="257" spans="1:7" x14ac:dyDescent="0.2">
      <c r="A257" t="s">
        <v>571</v>
      </c>
      <c r="B257" t="s">
        <v>572</v>
      </c>
      <c r="C257" t="s">
        <v>7</v>
      </c>
      <c r="D257" t="s">
        <v>572</v>
      </c>
    </row>
    <row r="258" spans="1:7" x14ac:dyDescent="0.2">
      <c r="A258" t="s">
        <v>571</v>
      </c>
      <c r="B258" t="s">
        <v>573</v>
      </c>
      <c r="C258" t="s">
        <v>7</v>
      </c>
      <c r="D258" t="s">
        <v>573</v>
      </c>
    </row>
    <row r="259" spans="1:7" x14ac:dyDescent="0.2">
      <c r="A259" t="s">
        <v>43</v>
      </c>
      <c r="B259" t="s">
        <v>574</v>
      </c>
      <c r="C259" t="s">
        <v>7</v>
      </c>
      <c r="D259" t="s">
        <v>1737</v>
      </c>
      <c r="F259" t="s">
        <v>1457</v>
      </c>
    </row>
    <row r="260" spans="1:7" x14ac:dyDescent="0.2">
      <c r="A260" t="s">
        <v>43</v>
      </c>
      <c r="B260" t="s">
        <v>575</v>
      </c>
      <c r="C260" t="s">
        <v>7</v>
      </c>
      <c r="D260" t="s">
        <v>1738</v>
      </c>
      <c r="F260" t="s">
        <v>1457</v>
      </c>
    </row>
    <row r="261" spans="1:7" x14ac:dyDescent="0.2">
      <c r="A261" t="s">
        <v>1739</v>
      </c>
      <c r="B261" t="s">
        <v>583</v>
      </c>
      <c r="C261" t="s">
        <v>1740</v>
      </c>
      <c r="D261" t="s">
        <v>583</v>
      </c>
    </row>
    <row r="262" spans="1:7" x14ac:dyDescent="0.2">
      <c r="A262" t="s">
        <v>584</v>
      </c>
      <c r="B262" t="s">
        <v>585</v>
      </c>
      <c r="C262" t="s">
        <v>520</v>
      </c>
      <c r="D262" t="s">
        <v>585</v>
      </c>
    </row>
    <row r="263" spans="1:7" x14ac:dyDescent="0.2">
      <c r="A263" t="s">
        <v>43</v>
      </c>
      <c r="B263" t="s">
        <v>1194</v>
      </c>
      <c r="C263" t="s">
        <v>7</v>
      </c>
      <c r="D263" t="s">
        <v>1741</v>
      </c>
      <c r="G263" t="s">
        <v>1742</v>
      </c>
    </row>
    <row r="264" spans="1:7" x14ac:dyDescent="0.2">
      <c r="A264" t="s">
        <v>43</v>
      </c>
      <c r="B264" t="s">
        <v>1195</v>
      </c>
      <c r="C264" t="s">
        <v>7</v>
      </c>
      <c r="D264" t="s">
        <v>1743</v>
      </c>
      <c r="G264" t="s">
        <v>1742</v>
      </c>
    </row>
    <row r="265" spans="1:7" x14ac:dyDescent="0.2">
      <c r="A265" t="s">
        <v>1419</v>
      </c>
      <c r="B265" t="s">
        <v>764</v>
      </c>
      <c r="C265" t="s">
        <v>7</v>
      </c>
      <c r="G265" t="s">
        <v>1744</v>
      </c>
    </row>
    <row r="266" spans="1:7" x14ac:dyDescent="0.2">
      <c r="A266" t="s">
        <v>1419</v>
      </c>
      <c r="B266" t="s">
        <v>765</v>
      </c>
      <c r="C266" t="s">
        <v>7</v>
      </c>
      <c r="D266" t="s">
        <v>1745</v>
      </c>
      <c r="G266" t="s">
        <v>1746</v>
      </c>
    </row>
    <row r="267" spans="1:7" x14ac:dyDescent="0.2">
      <c r="A267" t="s">
        <v>1419</v>
      </c>
      <c r="B267" t="s">
        <v>766</v>
      </c>
      <c r="C267" t="s">
        <v>7</v>
      </c>
      <c r="D267" t="s">
        <v>1747</v>
      </c>
      <c r="G267" t="s">
        <v>1746</v>
      </c>
    </row>
    <row r="268" spans="1:7" x14ac:dyDescent="0.2">
      <c r="A268" t="s">
        <v>1419</v>
      </c>
      <c r="B268" t="s">
        <v>767</v>
      </c>
      <c r="C268" t="s">
        <v>7</v>
      </c>
      <c r="G268" t="s">
        <v>1748</v>
      </c>
    </row>
    <row r="269" spans="1:7" x14ac:dyDescent="0.2">
      <c r="A269" t="s">
        <v>43</v>
      </c>
      <c r="B269" t="s">
        <v>1749</v>
      </c>
      <c r="C269" t="s">
        <v>7</v>
      </c>
      <c r="D269" t="s">
        <v>1750</v>
      </c>
      <c r="F269" t="s">
        <v>1374</v>
      </c>
    </row>
    <row r="270" spans="1:7" x14ac:dyDescent="0.2">
      <c r="A270" t="s">
        <v>43</v>
      </c>
      <c r="B270" t="s">
        <v>1751</v>
      </c>
      <c r="C270" t="s">
        <v>7</v>
      </c>
      <c r="D270" t="s">
        <v>1752</v>
      </c>
      <c r="F270" t="s">
        <v>1374</v>
      </c>
    </row>
    <row r="271" spans="1:7" x14ac:dyDescent="0.2">
      <c r="A271" t="s">
        <v>589</v>
      </c>
      <c r="B271" t="s">
        <v>1196</v>
      </c>
      <c r="C271" t="s">
        <v>7</v>
      </c>
      <c r="D271" t="s">
        <v>1196</v>
      </c>
    </row>
    <row r="272" spans="1:7" x14ac:dyDescent="0.2">
      <c r="A272" t="s">
        <v>589</v>
      </c>
      <c r="B272" t="s">
        <v>1197</v>
      </c>
      <c r="C272" t="s">
        <v>7</v>
      </c>
      <c r="D272" t="s">
        <v>1197</v>
      </c>
    </row>
    <row r="273" spans="1:7" x14ac:dyDescent="0.2">
      <c r="A273" t="s">
        <v>589</v>
      </c>
      <c r="B273" t="s">
        <v>1198</v>
      </c>
      <c r="C273" t="s">
        <v>7</v>
      </c>
      <c r="E273" t="s">
        <v>1198</v>
      </c>
    </row>
    <row r="274" spans="1:7" x14ac:dyDescent="0.2">
      <c r="A274" t="s">
        <v>59</v>
      </c>
      <c r="B274" t="s">
        <v>1199</v>
      </c>
      <c r="C274" t="s">
        <v>7</v>
      </c>
      <c r="D274" t="s">
        <v>1710</v>
      </c>
      <c r="G274" t="s">
        <v>1753</v>
      </c>
    </row>
    <row r="275" spans="1:7" x14ac:dyDescent="0.2">
      <c r="A275" t="s">
        <v>280</v>
      </c>
      <c r="B275" t="s">
        <v>1200</v>
      </c>
      <c r="C275" t="s">
        <v>7</v>
      </c>
      <c r="D275" t="s">
        <v>1754</v>
      </c>
      <c r="G275" t="s">
        <v>1755</v>
      </c>
    </row>
    <row r="276" spans="1:7" x14ac:dyDescent="0.2">
      <c r="A276" t="s">
        <v>280</v>
      </c>
      <c r="B276" t="s">
        <v>1201</v>
      </c>
      <c r="C276" t="s">
        <v>7</v>
      </c>
      <c r="E276" t="s">
        <v>1756</v>
      </c>
      <c r="G276" t="s">
        <v>1757</v>
      </c>
    </row>
    <row r="277" spans="1:7" x14ac:dyDescent="0.2">
      <c r="A277" t="s">
        <v>598</v>
      </c>
      <c r="B277" t="s">
        <v>1202</v>
      </c>
      <c r="C277" t="s">
        <v>7</v>
      </c>
      <c r="D277" t="s">
        <v>1758</v>
      </c>
      <c r="G277" t="s">
        <v>1759</v>
      </c>
    </row>
    <row r="278" spans="1:7" x14ac:dyDescent="0.2">
      <c r="A278" t="s">
        <v>598</v>
      </c>
      <c r="B278" t="s">
        <v>1203</v>
      </c>
      <c r="C278" t="s">
        <v>7</v>
      </c>
      <c r="D278" t="s">
        <v>1760</v>
      </c>
      <c r="G278" t="s">
        <v>1761</v>
      </c>
    </row>
    <row r="279" spans="1:7" x14ac:dyDescent="0.2">
      <c r="A279" t="s">
        <v>601</v>
      </c>
      <c r="B279" t="s">
        <v>602</v>
      </c>
      <c r="C279" t="s">
        <v>603</v>
      </c>
      <c r="D279" t="s">
        <v>1762</v>
      </c>
      <c r="G279" t="s">
        <v>1763</v>
      </c>
    </row>
    <row r="280" spans="1:7" x14ac:dyDescent="0.2">
      <c r="A280" t="s">
        <v>601</v>
      </c>
      <c r="B280" t="s">
        <v>604</v>
      </c>
      <c r="C280" t="s">
        <v>603</v>
      </c>
      <c r="D280" t="s">
        <v>1764</v>
      </c>
      <c r="G280" t="s">
        <v>1763</v>
      </c>
    </row>
    <row r="281" spans="1:7" x14ac:dyDescent="0.2">
      <c r="A281" t="s">
        <v>43</v>
      </c>
      <c r="B281" t="s">
        <v>1765</v>
      </c>
      <c r="C281" t="s">
        <v>7</v>
      </c>
      <c r="D281" t="s">
        <v>1766</v>
      </c>
      <c r="G281" t="s">
        <v>1397</v>
      </c>
    </row>
    <row r="282" spans="1:7" x14ac:dyDescent="0.2">
      <c r="A282" t="s">
        <v>43</v>
      </c>
      <c r="B282" t="s">
        <v>1767</v>
      </c>
      <c r="C282" t="s">
        <v>7</v>
      </c>
      <c r="D282" t="s">
        <v>1766</v>
      </c>
      <c r="G282" t="s">
        <v>1397</v>
      </c>
    </row>
    <row r="283" spans="1:7" x14ac:dyDescent="0.2">
      <c r="A283" t="s">
        <v>43</v>
      </c>
      <c r="B283" t="s">
        <v>1768</v>
      </c>
      <c r="C283" t="s">
        <v>7</v>
      </c>
      <c r="D283" t="s">
        <v>1769</v>
      </c>
      <c r="G283" t="s">
        <v>1397</v>
      </c>
    </row>
    <row r="284" spans="1:7" x14ac:dyDescent="0.2">
      <c r="A284" t="s">
        <v>43</v>
      </c>
      <c r="B284" t="s">
        <v>1770</v>
      </c>
      <c r="C284" t="s">
        <v>7</v>
      </c>
      <c r="D284" t="s">
        <v>1760</v>
      </c>
      <c r="G284" t="s">
        <v>1771</v>
      </c>
    </row>
    <row r="285" spans="1:7" x14ac:dyDescent="0.2">
      <c r="A285" t="s">
        <v>1379</v>
      </c>
      <c r="B285" t="s">
        <v>1772</v>
      </c>
      <c r="C285" t="s">
        <v>7</v>
      </c>
      <c r="D285" t="s">
        <v>1773</v>
      </c>
      <c r="G285" t="s">
        <v>1774</v>
      </c>
    </row>
    <row r="286" spans="1:7" x14ac:dyDescent="0.2">
      <c r="A286" t="s">
        <v>1419</v>
      </c>
      <c r="B286" t="s">
        <v>1204</v>
      </c>
      <c r="C286" t="s">
        <v>605</v>
      </c>
      <c r="D286" t="s">
        <v>1775</v>
      </c>
      <c r="F286" t="s">
        <v>1457</v>
      </c>
    </row>
    <row r="287" spans="1:7" x14ac:dyDescent="0.2">
      <c r="A287" t="s">
        <v>1419</v>
      </c>
      <c r="B287" t="s">
        <v>1205</v>
      </c>
      <c r="C287" t="s">
        <v>605</v>
      </c>
      <c r="G287" t="s">
        <v>1776</v>
      </c>
    </row>
    <row r="288" spans="1:7" x14ac:dyDescent="0.2">
      <c r="A288" t="s">
        <v>1419</v>
      </c>
      <c r="B288" t="s">
        <v>895</v>
      </c>
      <c r="C288" t="s">
        <v>843</v>
      </c>
      <c r="D288" t="s">
        <v>1777</v>
      </c>
      <c r="G288" t="s">
        <v>1778</v>
      </c>
    </row>
    <row r="289" spans="1:7" x14ac:dyDescent="0.2">
      <c r="A289" t="s">
        <v>1419</v>
      </c>
      <c r="B289" t="s">
        <v>896</v>
      </c>
      <c r="C289" t="s">
        <v>843</v>
      </c>
      <c r="D289" t="s">
        <v>1779</v>
      </c>
      <c r="G289" t="s">
        <v>1778</v>
      </c>
    </row>
    <row r="290" spans="1:7" x14ac:dyDescent="0.2">
      <c r="A290" t="s">
        <v>1419</v>
      </c>
      <c r="B290" t="s">
        <v>1206</v>
      </c>
      <c r="C290" t="s">
        <v>7</v>
      </c>
      <c r="D290" t="s">
        <v>1675</v>
      </c>
      <c r="F290" t="s">
        <v>1780</v>
      </c>
      <c r="G290" t="s">
        <v>1781</v>
      </c>
    </row>
    <row r="291" spans="1:7" x14ac:dyDescent="0.2">
      <c r="A291" t="s">
        <v>1419</v>
      </c>
      <c r="B291" t="s">
        <v>1207</v>
      </c>
      <c r="C291" t="s">
        <v>7</v>
      </c>
      <c r="D291" t="s">
        <v>1782</v>
      </c>
      <c r="F291" t="s">
        <v>1783</v>
      </c>
      <c r="G291" t="s">
        <v>1784</v>
      </c>
    </row>
    <row r="292" spans="1:7" x14ac:dyDescent="0.2">
      <c r="A292" t="s">
        <v>1419</v>
      </c>
      <c r="B292" t="s">
        <v>1208</v>
      </c>
      <c r="C292" t="s">
        <v>7</v>
      </c>
      <c r="D292" t="s">
        <v>1785</v>
      </c>
      <c r="F292" t="s">
        <v>1783</v>
      </c>
      <c r="G292" t="s">
        <v>1784</v>
      </c>
    </row>
    <row r="293" spans="1:7" x14ac:dyDescent="0.2">
      <c r="A293" t="s">
        <v>1419</v>
      </c>
      <c r="B293" t="s">
        <v>897</v>
      </c>
      <c r="C293" t="s">
        <v>611</v>
      </c>
      <c r="D293" t="s">
        <v>1786</v>
      </c>
      <c r="G293" t="s">
        <v>1778</v>
      </c>
    </row>
    <row r="294" spans="1:7" x14ac:dyDescent="0.2">
      <c r="A294" t="s">
        <v>612</v>
      </c>
      <c r="B294" t="s">
        <v>898</v>
      </c>
      <c r="C294" t="s">
        <v>843</v>
      </c>
      <c r="G294" t="s">
        <v>1787</v>
      </c>
    </row>
    <row r="295" spans="1:7" x14ac:dyDescent="0.2">
      <c r="A295" t="s">
        <v>612</v>
      </c>
      <c r="B295" t="s">
        <v>899</v>
      </c>
      <c r="C295" t="s">
        <v>614</v>
      </c>
      <c r="D295" t="s">
        <v>1788</v>
      </c>
      <c r="G295" t="s">
        <v>1789</v>
      </c>
    </row>
    <row r="296" spans="1:7" x14ac:dyDescent="0.2">
      <c r="A296" t="s">
        <v>612</v>
      </c>
      <c r="B296" t="s">
        <v>900</v>
      </c>
      <c r="C296" t="s">
        <v>614</v>
      </c>
      <c r="D296" t="s">
        <v>1660</v>
      </c>
      <c r="G296" t="s">
        <v>1790</v>
      </c>
    </row>
    <row r="297" spans="1:7" x14ac:dyDescent="0.2">
      <c r="A297" t="s">
        <v>612</v>
      </c>
      <c r="B297" t="s">
        <v>1209</v>
      </c>
      <c r="C297" t="s">
        <v>7</v>
      </c>
      <c r="D297" t="s">
        <v>1528</v>
      </c>
      <c r="G297" t="s">
        <v>1791</v>
      </c>
    </row>
    <row r="298" spans="1:7" x14ac:dyDescent="0.2">
      <c r="A298" t="s">
        <v>615</v>
      </c>
      <c r="B298" t="s">
        <v>1210</v>
      </c>
      <c r="C298" t="s">
        <v>617</v>
      </c>
      <c r="D298" t="s">
        <v>1792</v>
      </c>
      <c r="G298" t="s">
        <v>1793</v>
      </c>
    </row>
    <row r="299" spans="1:7" x14ac:dyDescent="0.2">
      <c r="A299" t="s">
        <v>615</v>
      </c>
      <c r="B299" t="s">
        <v>1211</v>
      </c>
      <c r="C299" t="s">
        <v>617</v>
      </c>
      <c r="D299" t="s">
        <v>1794</v>
      </c>
      <c r="G299" t="s">
        <v>1793</v>
      </c>
    </row>
    <row r="300" spans="1:7" x14ac:dyDescent="0.2">
      <c r="A300" t="s">
        <v>1551</v>
      </c>
      <c r="B300" t="s">
        <v>241</v>
      </c>
      <c r="C300" t="s">
        <v>617</v>
      </c>
      <c r="G300" t="s">
        <v>241</v>
      </c>
    </row>
    <row r="301" spans="1:7" x14ac:dyDescent="0.2">
      <c r="A301" t="s">
        <v>1505</v>
      </c>
      <c r="B301" t="s">
        <v>1212</v>
      </c>
      <c r="C301" t="s">
        <v>617</v>
      </c>
      <c r="D301" t="s">
        <v>1212</v>
      </c>
    </row>
    <row r="302" spans="1:7" x14ac:dyDescent="0.2">
      <c r="A302" t="s">
        <v>1795</v>
      </c>
      <c r="B302" t="s">
        <v>1796</v>
      </c>
      <c r="C302" t="s">
        <v>768</v>
      </c>
      <c r="D302" t="s">
        <v>1709</v>
      </c>
      <c r="G302" t="s">
        <v>1797</v>
      </c>
    </row>
    <row r="303" spans="1:7" x14ac:dyDescent="0.2">
      <c r="A303" t="s">
        <v>1419</v>
      </c>
      <c r="B303" t="s">
        <v>1798</v>
      </c>
      <c r="C303" t="s">
        <v>768</v>
      </c>
      <c r="D303" t="s">
        <v>1709</v>
      </c>
      <c r="G303" t="s">
        <v>1799</v>
      </c>
    </row>
    <row r="304" spans="1:7" x14ac:dyDescent="0.2">
      <c r="A304" t="s">
        <v>50</v>
      </c>
      <c r="B304" t="s">
        <v>633</v>
      </c>
      <c r="C304" t="s">
        <v>249</v>
      </c>
      <c r="F304" t="s">
        <v>1800</v>
      </c>
      <c r="G304" t="s">
        <v>1801</v>
      </c>
    </row>
    <row r="305" spans="1:7" x14ac:dyDescent="0.2">
      <c r="A305" t="s">
        <v>1379</v>
      </c>
      <c r="B305" t="s">
        <v>1802</v>
      </c>
      <c r="C305" t="s">
        <v>1547</v>
      </c>
      <c r="D305" t="s">
        <v>1803</v>
      </c>
      <c r="F305" t="s">
        <v>1804</v>
      </c>
    </row>
    <row r="306" spans="1:7" x14ac:dyDescent="0.2">
      <c r="A306" t="s">
        <v>1379</v>
      </c>
      <c r="B306" t="s">
        <v>901</v>
      </c>
      <c r="C306" t="s">
        <v>7</v>
      </c>
      <c r="D306" t="s">
        <v>1805</v>
      </c>
      <c r="G306" t="s">
        <v>1806</v>
      </c>
    </row>
    <row r="307" spans="1:7" x14ac:dyDescent="0.2">
      <c r="A307" t="s">
        <v>1379</v>
      </c>
      <c r="B307" t="s">
        <v>902</v>
      </c>
      <c r="C307" t="s">
        <v>7</v>
      </c>
      <c r="D307" t="s">
        <v>1805</v>
      </c>
      <c r="G307" t="s">
        <v>1807</v>
      </c>
    </row>
    <row r="308" spans="1:7" x14ac:dyDescent="0.2">
      <c r="A308" t="s">
        <v>688</v>
      </c>
      <c r="B308" t="s">
        <v>1213</v>
      </c>
      <c r="C308" t="s">
        <v>249</v>
      </c>
      <c r="D308" t="s">
        <v>1808</v>
      </c>
      <c r="E308" t="s">
        <v>1809</v>
      </c>
      <c r="F308" t="s">
        <v>1367</v>
      </c>
      <c r="G308" t="s">
        <v>1810</v>
      </c>
    </row>
    <row r="309" spans="1:7" x14ac:dyDescent="0.2">
      <c r="A309" t="s">
        <v>1537</v>
      </c>
      <c r="B309" t="s">
        <v>636</v>
      </c>
      <c r="C309" t="s">
        <v>7</v>
      </c>
      <c r="D309" t="s">
        <v>636</v>
      </c>
    </row>
    <row r="310" spans="1:7" x14ac:dyDescent="0.2">
      <c r="A310" t="s">
        <v>59</v>
      </c>
      <c r="B310" t="s">
        <v>637</v>
      </c>
      <c r="C310" t="s">
        <v>7</v>
      </c>
      <c r="D310" t="s">
        <v>1811</v>
      </c>
      <c r="F310" t="s">
        <v>1440</v>
      </c>
      <c r="G310" t="s">
        <v>1812</v>
      </c>
    </row>
    <row r="311" spans="1:7" x14ac:dyDescent="0.2">
      <c r="A311" t="s">
        <v>59</v>
      </c>
      <c r="B311" t="s">
        <v>638</v>
      </c>
      <c r="C311" t="s">
        <v>7</v>
      </c>
      <c r="D311" t="s">
        <v>1813</v>
      </c>
      <c r="F311" t="s">
        <v>1440</v>
      </c>
    </row>
    <row r="312" spans="1:7" x14ac:dyDescent="0.2">
      <c r="A312" t="s">
        <v>589</v>
      </c>
      <c r="B312" t="s">
        <v>639</v>
      </c>
      <c r="C312" t="s">
        <v>7</v>
      </c>
      <c r="D312" t="s">
        <v>1811</v>
      </c>
      <c r="F312" t="s">
        <v>1814</v>
      </c>
      <c r="G312" t="s">
        <v>1815</v>
      </c>
    </row>
    <row r="313" spans="1:7" x14ac:dyDescent="0.2">
      <c r="A313" t="s">
        <v>1419</v>
      </c>
      <c r="B313" t="s">
        <v>640</v>
      </c>
      <c r="C313" t="s">
        <v>7</v>
      </c>
      <c r="D313" t="s">
        <v>1816</v>
      </c>
      <c r="G313" t="s">
        <v>1810</v>
      </c>
    </row>
    <row r="314" spans="1:7" x14ac:dyDescent="0.2">
      <c r="A314" t="s">
        <v>1419</v>
      </c>
      <c r="B314" t="s">
        <v>641</v>
      </c>
      <c r="C314" t="s">
        <v>7</v>
      </c>
      <c r="D314" t="s">
        <v>1817</v>
      </c>
      <c r="G314" t="s">
        <v>1818</v>
      </c>
    </row>
    <row r="315" spans="1:7" x14ac:dyDescent="0.2">
      <c r="A315" t="s">
        <v>1379</v>
      </c>
      <c r="B315" t="s">
        <v>1214</v>
      </c>
      <c r="C315" t="s">
        <v>642</v>
      </c>
      <c r="D315" t="s">
        <v>1819</v>
      </c>
      <c r="F315" t="s">
        <v>1370</v>
      </c>
      <c r="G315" t="s">
        <v>1495</v>
      </c>
    </row>
    <row r="316" spans="1:7" x14ac:dyDescent="0.2">
      <c r="A316" t="s">
        <v>1379</v>
      </c>
      <c r="B316" t="s">
        <v>1215</v>
      </c>
      <c r="C316" t="s">
        <v>1547</v>
      </c>
      <c r="D316" t="s">
        <v>1820</v>
      </c>
      <c r="F316" t="s">
        <v>1370</v>
      </c>
      <c r="G316" t="s">
        <v>1821</v>
      </c>
    </row>
    <row r="317" spans="1:7" x14ac:dyDescent="0.2">
      <c r="A317" t="s">
        <v>1379</v>
      </c>
      <c r="B317" t="s">
        <v>1216</v>
      </c>
      <c r="C317" t="s">
        <v>643</v>
      </c>
      <c r="D317" t="s">
        <v>1822</v>
      </c>
      <c r="F317" t="s">
        <v>1367</v>
      </c>
      <c r="G317" t="s">
        <v>1823</v>
      </c>
    </row>
    <row r="318" spans="1:7" x14ac:dyDescent="0.2">
      <c r="A318" t="s">
        <v>1379</v>
      </c>
      <c r="B318" t="s">
        <v>1216</v>
      </c>
      <c r="C318" t="s">
        <v>786</v>
      </c>
      <c r="D318" t="s">
        <v>1822</v>
      </c>
      <c r="F318" t="s">
        <v>1367</v>
      </c>
      <c r="G318" t="s">
        <v>1823</v>
      </c>
    </row>
    <row r="319" spans="1:7" x14ac:dyDescent="0.2">
      <c r="A319" t="s">
        <v>1475</v>
      </c>
      <c r="B319" t="s">
        <v>1824</v>
      </c>
      <c r="C319" t="s">
        <v>642</v>
      </c>
      <c r="D319" t="s">
        <v>1824</v>
      </c>
    </row>
    <row r="320" spans="1:7" x14ac:dyDescent="0.2">
      <c r="A320" t="s">
        <v>662</v>
      </c>
      <c r="B320" t="s">
        <v>1825</v>
      </c>
      <c r="C320" t="s">
        <v>768</v>
      </c>
      <c r="D320" t="s">
        <v>1825</v>
      </c>
    </row>
    <row r="321" spans="1:7" x14ac:dyDescent="0.2">
      <c r="A321" t="s">
        <v>662</v>
      </c>
      <c r="B321" t="s">
        <v>1826</v>
      </c>
      <c r="C321" t="s">
        <v>768</v>
      </c>
      <c r="D321" t="s">
        <v>1826</v>
      </c>
    </row>
    <row r="322" spans="1:7" x14ac:dyDescent="0.2">
      <c r="A322" t="s">
        <v>662</v>
      </c>
      <c r="B322" t="s">
        <v>1827</v>
      </c>
      <c r="C322" t="s">
        <v>768</v>
      </c>
      <c r="D322" t="s">
        <v>1828</v>
      </c>
    </row>
    <row r="323" spans="1:7" x14ac:dyDescent="0.2">
      <c r="A323" t="s">
        <v>280</v>
      </c>
      <c r="B323" t="s">
        <v>1829</v>
      </c>
      <c r="C323" t="s">
        <v>7</v>
      </c>
      <c r="G323" t="s">
        <v>1829</v>
      </c>
    </row>
    <row r="324" spans="1:7" x14ac:dyDescent="0.2">
      <c r="A324" t="s">
        <v>43</v>
      </c>
      <c r="B324" t="s">
        <v>1217</v>
      </c>
      <c r="C324" t="s">
        <v>7</v>
      </c>
      <c r="D324" t="s">
        <v>1217</v>
      </c>
    </row>
    <row r="325" spans="1:7" x14ac:dyDescent="0.2">
      <c r="A325" t="s">
        <v>1379</v>
      </c>
      <c r="B325" t="s">
        <v>1218</v>
      </c>
      <c r="C325" t="s">
        <v>642</v>
      </c>
      <c r="D325" t="s">
        <v>1830</v>
      </c>
    </row>
    <row r="326" spans="1:7" x14ac:dyDescent="0.2">
      <c r="A326" t="s">
        <v>1379</v>
      </c>
      <c r="B326" t="s">
        <v>1831</v>
      </c>
      <c r="C326" t="s">
        <v>264</v>
      </c>
      <c r="F326" t="s">
        <v>1831</v>
      </c>
    </row>
    <row r="327" spans="1:7" x14ac:dyDescent="0.2">
      <c r="A327" t="s">
        <v>1379</v>
      </c>
      <c r="B327" t="s">
        <v>1219</v>
      </c>
      <c r="C327" t="s">
        <v>1547</v>
      </c>
      <c r="F327" t="s">
        <v>1832</v>
      </c>
      <c r="G327" t="s">
        <v>1833</v>
      </c>
    </row>
    <row r="328" spans="1:7" x14ac:dyDescent="0.2">
      <c r="A328" t="s">
        <v>1379</v>
      </c>
      <c r="B328" t="s">
        <v>1220</v>
      </c>
      <c r="C328" t="s">
        <v>1547</v>
      </c>
      <c r="F328" t="s">
        <v>1834</v>
      </c>
      <c r="G328" t="s">
        <v>1835</v>
      </c>
    </row>
    <row r="329" spans="1:7" x14ac:dyDescent="0.2">
      <c r="A329" t="s">
        <v>688</v>
      </c>
      <c r="B329" t="s">
        <v>1221</v>
      </c>
      <c r="C329" t="s">
        <v>252</v>
      </c>
      <c r="D329" t="s">
        <v>1836</v>
      </c>
      <c r="F329" t="s">
        <v>1440</v>
      </c>
    </row>
    <row r="330" spans="1:7" x14ac:dyDescent="0.2">
      <c r="A330" t="s">
        <v>688</v>
      </c>
      <c r="B330" t="s">
        <v>1222</v>
      </c>
      <c r="C330" t="s">
        <v>252</v>
      </c>
      <c r="D330" t="s">
        <v>1837</v>
      </c>
      <c r="F330" t="s">
        <v>1440</v>
      </c>
      <c r="G330" t="s">
        <v>1838</v>
      </c>
    </row>
    <row r="331" spans="1:7" x14ac:dyDescent="0.2">
      <c r="A331" t="s">
        <v>1379</v>
      </c>
      <c r="B331" t="s">
        <v>1223</v>
      </c>
      <c r="C331" t="s">
        <v>1547</v>
      </c>
      <c r="D331" t="s">
        <v>1839</v>
      </c>
      <c r="F331" t="s">
        <v>1440</v>
      </c>
      <c r="G331" t="s">
        <v>1840</v>
      </c>
    </row>
    <row r="332" spans="1:7" x14ac:dyDescent="0.2">
      <c r="A332" t="s">
        <v>43</v>
      </c>
      <c r="B332" t="s">
        <v>1224</v>
      </c>
      <c r="C332" t="s">
        <v>7</v>
      </c>
      <c r="D332" t="s">
        <v>1841</v>
      </c>
      <c r="G332" t="s">
        <v>1842</v>
      </c>
    </row>
    <row r="333" spans="1:7" x14ac:dyDescent="0.2">
      <c r="A333" t="s">
        <v>280</v>
      </c>
      <c r="B333" t="s">
        <v>1843</v>
      </c>
      <c r="C333" t="s">
        <v>642</v>
      </c>
      <c r="D333" t="s">
        <v>1104</v>
      </c>
      <c r="E333" t="s">
        <v>1844</v>
      </c>
    </row>
    <row r="334" spans="1:7" x14ac:dyDescent="0.2">
      <c r="A334" t="s">
        <v>280</v>
      </c>
      <c r="B334" t="s">
        <v>1845</v>
      </c>
      <c r="C334" t="s">
        <v>642</v>
      </c>
      <c r="D334" t="s">
        <v>1846</v>
      </c>
      <c r="E334" t="s">
        <v>1844</v>
      </c>
    </row>
    <row r="335" spans="1:7" x14ac:dyDescent="0.2">
      <c r="A335" t="s">
        <v>1419</v>
      </c>
      <c r="B335" t="s">
        <v>1225</v>
      </c>
      <c r="C335" t="s">
        <v>7</v>
      </c>
      <c r="D335" t="s">
        <v>1847</v>
      </c>
      <c r="F335" t="s">
        <v>1440</v>
      </c>
    </row>
    <row r="336" spans="1:7" x14ac:dyDescent="0.2">
      <c r="A336" t="s">
        <v>1419</v>
      </c>
      <c r="B336" t="s">
        <v>1226</v>
      </c>
      <c r="C336" t="s">
        <v>7</v>
      </c>
      <c r="D336" t="s">
        <v>1643</v>
      </c>
      <c r="E336" t="s">
        <v>1848</v>
      </c>
      <c r="F336" t="s">
        <v>1381</v>
      </c>
    </row>
    <row r="337" spans="1:7" x14ac:dyDescent="0.2">
      <c r="A337" t="s">
        <v>1379</v>
      </c>
      <c r="B337" t="s">
        <v>1849</v>
      </c>
      <c r="C337" t="s">
        <v>1547</v>
      </c>
      <c r="G337" t="s">
        <v>1850</v>
      </c>
    </row>
    <row r="338" spans="1:7" x14ac:dyDescent="0.2">
      <c r="A338" t="s">
        <v>1379</v>
      </c>
      <c r="B338" t="s">
        <v>1851</v>
      </c>
      <c r="C338" t="s">
        <v>1547</v>
      </c>
      <c r="G338" t="s">
        <v>1852</v>
      </c>
    </row>
    <row r="339" spans="1:7" x14ac:dyDescent="0.2">
      <c r="A339" t="s">
        <v>1379</v>
      </c>
      <c r="B339" t="s">
        <v>1853</v>
      </c>
      <c r="C339" t="s">
        <v>1547</v>
      </c>
      <c r="D339" t="s">
        <v>1686</v>
      </c>
      <c r="G339" t="s">
        <v>1854</v>
      </c>
    </row>
    <row r="340" spans="1:7" x14ac:dyDescent="0.2">
      <c r="A340" t="s">
        <v>43</v>
      </c>
      <c r="B340" t="s">
        <v>1227</v>
      </c>
      <c r="C340" t="s">
        <v>7</v>
      </c>
      <c r="D340" t="s">
        <v>1855</v>
      </c>
      <c r="G340" t="s">
        <v>1856</v>
      </c>
    </row>
    <row r="341" spans="1:7" x14ac:dyDescent="0.2">
      <c r="A341" t="s">
        <v>1379</v>
      </c>
      <c r="B341" t="s">
        <v>1228</v>
      </c>
      <c r="C341" t="s">
        <v>7</v>
      </c>
      <c r="D341" t="s">
        <v>1857</v>
      </c>
      <c r="F341" t="s">
        <v>1457</v>
      </c>
      <c r="G341" t="s">
        <v>1490</v>
      </c>
    </row>
    <row r="342" spans="1:7" x14ac:dyDescent="0.2">
      <c r="A342" t="s">
        <v>1379</v>
      </c>
      <c r="B342" t="s">
        <v>1229</v>
      </c>
      <c r="C342" t="s">
        <v>1547</v>
      </c>
      <c r="D342" t="s">
        <v>1858</v>
      </c>
      <c r="G342" t="s">
        <v>1859</v>
      </c>
    </row>
    <row r="343" spans="1:7" x14ac:dyDescent="0.2">
      <c r="A343" t="s">
        <v>1379</v>
      </c>
      <c r="B343" t="s">
        <v>1230</v>
      </c>
      <c r="C343" t="s">
        <v>1547</v>
      </c>
      <c r="D343" t="s">
        <v>1230</v>
      </c>
    </row>
    <row r="344" spans="1:7" x14ac:dyDescent="0.2">
      <c r="A344" t="s">
        <v>795</v>
      </c>
      <c r="B344" t="s">
        <v>1231</v>
      </c>
      <c r="C344" t="s">
        <v>708</v>
      </c>
      <c r="D344" t="s">
        <v>1686</v>
      </c>
      <c r="F344" t="s">
        <v>1860</v>
      </c>
    </row>
    <row r="345" spans="1:7" x14ac:dyDescent="0.2">
      <c r="A345" t="s">
        <v>795</v>
      </c>
      <c r="B345" t="s">
        <v>1232</v>
      </c>
      <c r="C345" t="s">
        <v>708</v>
      </c>
      <c r="F345" t="s">
        <v>1860</v>
      </c>
      <c r="G345" t="s">
        <v>1699</v>
      </c>
    </row>
    <row r="346" spans="1:7" x14ac:dyDescent="0.2">
      <c r="A346" t="s">
        <v>1731</v>
      </c>
      <c r="B346" t="s">
        <v>712</v>
      </c>
      <c r="C346" t="s">
        <v>7</v>
      </c>
      <c r="D346" t="s">
        <v>712</v>
      </c>
    </row>
    <row r="347" spans="1:7" x14ac:dyDescent="0.2">
      <c r="A347" t="s">
        <v>1731</v>
      </c>
      <c r="B347" t="s">
        <v>713</v>
      </c>
      <c r="C347" t="s">
        <v>7</v>
      </c>
      <c r="D347" t="s">
        <v>713</v>
      </c>
    </row>
    <row r="348" spans="1:7" x14ac:dyDescent="0.2">
      <c r="A348" t="s">
        <v>1731</v>
      </c>
      <c r="B348" t="s">
        <v>714</v>
      </c>
      <c r="C348" t="s">
        <v>7</v>
      </c>
      <c r="D348" t="s">
        <v>714</v>
      </c>
    </row>
    <row r="349" spans="1:7" x14ac:dyDescent="0.2">
      <c r="A349" t="s">
        <v>1731</v>
      </c>
      <c r="B349" t="s">
        <v>715</v>
      </c>
      <c r="C349" t="s">
        <v>7</v>
      </c>
      <c r="D349" t="s">
        <v>715</v>
      </c>
    </row>
    <row r="350" spans="1:7" x14ac:dyDescent="0.2">
      <c r="A350" t="s">
        <v>1419</v>
      </c>
      <c r="B350" t="s">
        <v>1861</v>
      </c>
      <c r="C350" t="s">
        <v>7</v>
      </c>
      <c r="E350" t="s">
        <v>1862</v>
      </c>
      <c r="G350" t="s">
        <v>1863</v>
      </c>
    </row>
    <row r="351" spans="1:7" x14ac:dyDescent="0.2">
      <c r="A351" t="s">
        <v>1419</v>
      </c>
      <c r="B351" t="s">
        <v>1864</v>
      </c>
      <c r="C351" t="s">
        <v>7</v>
      </c>
      <c r="D351" t="s">
        <v>277</v>
      </c>
      <c r="E351" t="s">
        <v>1862</v>
      </c>
      <c r="G351" t="s">
        <v>1865</v>
      </c>
    </row>
    <row r="352" spans="1:7" x14ac:dyDescent="0.2">
      <c r="A352" t="s">
        <v>1419</v>
      </c>
      <c r="B352" t="s">
        <v>905</v>
      </c>
      <c r="C352" t="s">
        <v>7</v>
      </c>
      <c r="E352" t="s">
        <v>1866</v>
      </c>
      <c r="G352" t="s">
        <v>1734</v>
      </c>
    </row>
    <row r="353" spans="1:7" x14ac:dyDescent="0.2">
      <c r="A353" t="s">
        <v>1419</v>
      </c>
      <c r="B353" t="s">
        <v>1867</v>
      </c>
      <c r="C353" t="s">
        <v>7</v>
      </c>
      <c r="D353" t="s">
        <v>1868</v>
      </c>
      <c r="E353" t="s">
        <v>1869</v>
      </c>
      <c r="G353" t="s">
        <v>1865</v>
      </c>
    </row>
    <row r="354" spans="1:7" x14ac:dyDescent="0.2">
      <c r="A354" t="s">
        <v>1419</v>
      </c>
      <c r="B354" t="s">
        <v>1870</v>
      </c>
      <c r="C354" t="s">
        <v>7</v>
      </c>
      <c r="D354" t="s">
        <v>1868</v>
      </c>
      <c r="E354" t="s">
        <v>1871</v>
      </c>
      <c r="G354" t="s">
        <v>1865</v>
      </c>
    </row>
    <row r="355" spans="1:7" x14ac:dyDescent="0.2">
      <c r="A355" t="s">
        <v>1419</v>
      </c>
      <c r="B355" t="s">
        <v>1233</v>
      </c>
      <c r="C355" t="s">
        <v>708</v>
      </c>
      <c r="D355" t="s">
        <v>1872</v>
      </c>
      <c r="F355" t="s">
        <v>1370</v>
      </c>
      <c r="G355" t="s">
        <v>1873</v>
      </c>
    </row>
    <row r="356" spans="1:7" x14ac:dyDescent="0.2">
      <c r="A356" t="s">
        <v>1419</v>
      </c>
      <c r="B356" t="s">
        <v>1234</v>
      </c>
      <c r="C356" t="s">
        <v>708</v>
      </c>
      <c r="D356" t="s">
        <v>1874</v>
      </c>
      <c r="F356" t="s">
        <v>1370</v>
      </c>
      <c r="G356" t="s">
        <v>1873</v>
      </c>
    </row>
    <row r="357" spans="1:7" x14ac:dyDescent="0.2">
      <c r="A357" t="s">
        <v>1379</v>
      </c>
      <c r="B357" t="s">
        <v>1235</v>
      </c>
      <c r="C357" t="s">
        <v>1547</v>
      </c>
      <c r="D357" t="s">
        <v>1875</v>
      </c>
      <c r="F357" t="s">
        <v>1370</v>
      </c>
      <c r="G357" t="s">
        <v>1876</v>
      </c>
    </row>
    <row r="358" spans="1:7" x14ac:dyDescent="0.2">
      <c r="A358" t="s">
        <v>1379</v>
      </c>
      <c r="B358" t="s">
        <v>1236</v>
      </c>
      <c r="C358" t="s">
        <v>1547</v>
      </c>
      <c r="D358" t="s">
        <v>1710</v>
      </c>
      <c r="F358" t="s">
        <v>1877</v>
      </c>
      <c r="G358" t="s">
        <v>1878</v>
      </c>
    </row>
    <row r="359" spans="1:7" x14ac:dyDescent="0.2">
      <c r="A359" t="s">
        <v>1379</v>
      </c>
      <c r="B359" t="s">
        <v>1237</v>
      </c>
      <c r="C359" t="s">
        <v>1547</v>
      </c>
      <c r="D359" t="s">
        <v>1879</v>
      </c>
      <c r="F359" t="s">
        <v>1877</v>
      </c>
      <c r="G359" t="s">
        <v>1878</v>
      </c>
    </row>
    <row r="360" spans="1:7" x14ac:dyDescent="0.2">
      <c r="A360" t="s">
        <v>1379</v>
      </c>
      <c r="B360" t="s">
        <v>1238</v>
      </c>
      <c r="C360" t="s">
        <v>1547</v>
      </c>
      <c r="D360" t="s">
        <v>1238</v>
      </c>
    </row>
    <row r="361" spans="1:7" x14ac:dyDescent="0.2">
      <c r="A361" t="s">
        <v>1379</v>
      </c>
      <c r="B361" t="s">
        <v>1239</v>
      </c>
      <c r="C361" t="s">
        <v>1547</v>
      </c>
      <c r="F361" t="s">
        <v>1370</v>
      </c>
      <c r="G361" t="s">
        <v>1880</v>
      </c>
    </row>
    <row r="362" spans="1:7" x14ac:dyDescent="0.2">
      <c r="A362" t="s">
        <v>1379</v>
      </c>
      <c r="B362" t="s">
        <v>1240</v>
      </c>
      <c r="C362" t="s">
        <v>1547</v>
      </c>
      <c r="D362" t="s">
        <v>1881</v>
      </c>
      <c r="F362" t="s">
        <v>1381</v>
      </c>
      <c r="G362" t="s">
        <v>1882</v>
      </c>
    </row>
    <row r="363" spans="1:7" x14ac:dyDescent="0.2">
      <c r="A363" t="s">
        <v>50</v>
      </c>
      <c r="B363" t="s">
        <v>1241</v>
      </c>
      <c r="C363" t="s">
        <v>7</v>
      </c>
      <c r="D363" t="s">
        <v>1883</v>
      </c>
      <c r="F363" t="s">
        <v>1884</v>
      </c>
    </row>
    <row r="364" spans="1:7" x14ac:dyDescent="0.2">
      <c r="A364" t="s">
        <v>50</v>
      </c>
      <c r="B364" t="s">
        <v>1242</v>
      </c>
      <c r="C364" t="s">
        <v>7</v>
      </c>
      <c r="D364" t="s">
        <v>1885</v>
      </c>
      <c r="F364" t="s">
        <v>1884</v>
      </c>
    </row>
    <row r="365" spans="1:7" x14ac:dyDescent="0.2">
      <c r="A365" t="s">
        <v>50</v>
      </c>
      <c r="B365" t="s">
        <v>1243</v>
      </c>
      <c r="C365" t="s">
        <v>7</v>
      </c>
      <c r="D365" t="s">
        <v>1886</v>
      </c>
      <c r="F365" t="s">
        <v>1884</v>
      </c>
    </row>
    <row r="366" spans="1:7" x14ac:dyDescent="0.2">
      <c r="A366" t="s">
        <v>50</v>
      </c>
      <c r="B366" t="s">
        <v>1887</v>
      </c>
      <c r="C366" t="s">
        <v>7</v>
      </c>
      <c r="D366" t="s">
        <v>1888</v>
      </c>
      <c r="F366" t="s">
        <v>1889</v>
      </c>
      <c r="G366" t="s">
        <v>1890</v>
      </c>
    </row>
    <row r="367" spans="1:7" x14ac:dyDescent="0.2">
      <c r="A367" t="s">
        <v>43</v>
      </c>
      <c r="B367" t="s">
        <v>1244</v>
      </c>
      <c r="C367" t="s">
        <v>753</v>
      </c>
      <c r="D367" t="s">
        <v>1891</v>
      </c>
      <c r="F367" t="s">
        <v>1892</v>
      </c>
      <c r="G367" t="s">
        <v>1893</v>
      </c>
    </row>
    <row r="368" spans="1:7" x14ac:dyDescent="0.2">
      <c r="A368" t="s">
        <v>50</v>
      </c>
      <c r="B368" t="s">
        <v>1894</v>
      </c>
      <c r="C368" t="s">
        <v>7</v>
      </c>
      <c r="D368" t="s">
        <v>1895</v>
      </c>
      <c r="F368" t="s">
        <v>1440</v>
      </c>
      <c r="G368" t="s">
        <v>1896</v>
      </c>
    </row>
    <row r="369" spans="1:7" x14ac:dyDescent="0.2">
      <c r="A369" t="s">
        <v>50</v>
      </c>
      <c r="B369" t="s">
        <v>1897</v>
      </c>
      <c r="C369" t="s">
        <v>7</v>
      </c>
      <c r="D369" t="s">
        <v>1898</v>
      </c>
      <c r="E369" t="s">
        <v>1899</v>
      </c>
      <c r="F369" t="s">
        <v>1440</v>
      </c>
      <c r="G369" t="s">
        <v>1896</v>
      </c>
    </row>
    <row r="370" spans="1:7" x14ac:dyDescent="0.2">
      <c r="A370" t="s">
        <v>50</v>
      </c>
      <c r="B370" t="s">
        <v>1900</v>
      </c>
      <c r="C370" t="s">
        <v>7</v>
      </c>
      <c r="D370" t="s">
        <v>1901</v>
      </c>
      <c r="F370" t="s">
        <v>1902</v>
      </c>
      <c r="G370" t="s">
        <v>1420</v>
      </c>
    </row>
    <row r="371" spans="1:7" x14ac:dyDescent="0.2">
      <c r="A371" t="s">
        <v>50</v>
      </c>
      <c r="B371" t="s">
        <v>1903</v>
      </c>
      <c r="C371" t="s">
        <v>7</v>
      </c>
      <c r="D371" t="s">
        <v>1904</v>
      </c>
      <c r="F371" t="s">
        <v>1902</v>
      </c>
      <c r="G371" t="s">
        <v>1420</v>
      </c>
    </row>
    <row r="372" spans="1:7" x14ac:dyDescent="0.2">
      <c r="A372" t="s">
        <v>50</v>
      </c>
      <c r="B372" t="s">
        <v>1905</v>
      </c>
      <c r="C372" t="s">
        <v>7</v>
      </c>
      <c r="D372" t="s">
        <v>1906</v>
      </c>
      <c r="F372" t="s">
        <v>1902</v>
      </c>
      <c r="G372" t="s">
        <v>1907</v>
      </c>
    </row>
    <row r="373" spans="1:7" x14ac:dyDescent="0.2">
      <c r="A373" t="s">
        <v>50</v>
      </c>
      <c r="B373" t="s">
        <v>1908</v>
      </c>
      <c r="C373" t="s">
        <v>7</v>
      </c>
      <c r="D373" t="s">
        <v>1909</v>
      </c>
      <c r="E373" t="s">
        <v>1899</v>
      </c>
      <c r="F373" t="s">
        <v>1440</v>
      </c>
      <c r="G373" t="s">
        <v>1896</v>
      </c>
    </row>
    <row r="374" spans="1:7" x14ac:dyDescent="0.2">
      <c r="A374" t="s">
        <v>50</v>
      </c>
      <c r="B374" t="s">
        <v>769</v>
      </c>
      <c r="C374" t="s">
        <v>7</v>
      </c>
      <c r="D374" t="s">
        <v>1910</v>
      </c>
      <c r="E374" t="s">
        <v>1899</v>
      </c>
      <c r="F374" t="s">
        <v>1911</v>
      </c>
      <c r="G374" t="s">
        <v>1420</v>
      </c>
    </row>
    <row r="375" spans="1:7" x14ac:dyDescent="0.2">
      <c r="A375" t="s">
        <v>280</v>
      </c>
      <c r="B375" t="s">
        <v>1912</v>
      </c>
      <c r="C375" t="s">
        <v>7</v>
      </c>
      <c r="D375" t="s">
        <v>1912</v>
      </c>
    </row>
    <row r="376" spans="1:7" x14ac:dyDescent="0.2">
      <c r="A376" t="s">
        <v>43</v>
      </c>
      <c r="B376" t="s">
        <v>778</v>
      </c>
      <c r="C376" t="s">
        <v>7</v>
      </c>
      <c r="D376" t="s">
        <v>1913</v>
      </c>
      <c r="F376" t="s">
        <v>1370</v>
      </c>
      <c r="G376" t="s">
        <v>1810</v>
      </c>
    </row>
    <row r="377" spans="1:7" x14ac:dyDescent="0.2">
      <c r="A377" t="s">
        <v>59</v>
      </c>
      <c r="B377" t="s">
        <v>779</v>
      </c>
      <c r="C377" t="s">
        <v>7</v>
      </c>
      <c r="D377" t="s">
        <v>1914</v>
      </c>
      <c r="F377" t="s">
        <v>1915</v>
      </c>
    </row>
    <row r="378" spans="1:7" x14ac:dyDescent="0.2">
      <c r="A378" t="s">
        <v>59</v>
      </c>
      <c r="B378" t="s">
        <v>1245</v>
      </c>
      <c r="C378" t="s">
        <v>614</v>
      </c>
      <c r="D378" t="s">
        <v>1686</v>
      </c>
      <c r="F378" t="s">
        <v>1440</v>
      </c>
      <c r="G378" t="s">
        <v>1916</v>
      </c>
    </row>
    <row r="379" spans="1:7" x14ac:dyDescent="0.2">
      <c r="A379" t="s">
        <v>59</v>
      </c>
      <c r="B379" t="s">
        <v>1246</v>
      </c>
      <c r="C379" t="s">
        <v>7</v>
      </c>
      <c r="D379" t="s">
        <v>1917</v>
      </c>
      <c r="F379" t="s">
        <v>1381</v>
      </c>
    </row>
    <row r="380" spans="1:7" x14ac:dyDescent="0.2">
      <c r="A380" t="s">
        <v>1379</v>
      </c>
      <c r="B380" t="s">
        <v>1247</v>
      </c>
      <c r="C380" t="s">
        <v>7</v>
      </c>
      <c r="D380" t="s">
        <v>1918</v>
      </c>
      <c r="F380" t="s">
        <v>1381</v>
      </c>
    </row>
    <row r="381" spans="1:7" x14ac:dyDescent="0.2">
      <c r="A381" t="s">
        <v>1419</v>
      </c>
      <c r="B381" t="s">
        <v>1919</v>
      </c>
      <c r="C381" t="s">
        <v>7</v>
      </c>
      <c r="D381" t="s">
        <v>1714</v>
      </c>
      <c r="E381" t="s">
        <v>1736</v>
      </c>
      <c r="G381" t="s">
        <v>1611</v>
      </c>
    </row>
    <row r="382" spans="1:7" x14ac:dyDescent="0.2">
      <c r="A382" t="s">
        <v>1379</v>
      </c>
      <c r="B382" t="s">
        <v>1248</v>
      </c>
      <c r="C382" t="s">
        <v>642</v>
      </c>
      <c r="D382" t="s">
        <v>1920</v>
      </c>
    </row>
    <row r="383" spans="1:7" x14ac:dyDescent="0.2">
      <c r="A383" t="s">
        <v>1379</v>
      </c>
      <c r="B383" t="s">
        <v>1249</v>
      </c>
      <c r="C383" t="s">
        <v>642</v>
      </c>
      <c r="D383" t="s">
        <v>1921</v>
      </c>
      <c r="G383" t="s">
        <v>1922</v>
      </c>
    </row>
    <row r="384" spans="1:7" x14ac:dyDescent="0.2">
      <c r="A384" t="s">
        <v>50</v>
      </c>
      <c r="B384" t="s">
        <v>1250</v>
      </c>
      <c r="C384" t="s">
        <v>642</v>
      </c>
      <c r="D384" t="s">
        <v>1250</v>
      </c>
    </row>
    <row r="385" spans="1:7" x14ac:dyDescent="0.2">
      <c r="A385" t="s">
        <v>1551</v>
      </c>
      <c r="B385" t="s">
        <v>1251</v>
      </c>
      <c r="C385" t="s">
        <v>7</v>
      </c>
      <c r="D385" t="s">
        <v>1923</v>
      </c>
      <c r="G385" t="s">
        <v>1924</v>
      </c>
    </row>
    <row r="386" spans="1:7" x14ac:dyDescent="0.2">
      <c r="A386" t="s">
        <v>50</v>
      </c>
      <c r="B386" t="s">
        <v>1925</v>
      </c>
      <c r="C386" t="s">
        <v>7</v>
      </c>
      <c r="D386" t="s">
        <v>1926</v>
      </c>
      <c r="E386" t="s">
        <v>1927</v>
      </c>
      <c r="F386" t="s">
        <v>1902</v>
      </c>
      <c r="G386" t="s">
        <v>1810</v>
      </c>
    </row>
    <row r="387" spans="1:7" x14ac:dyDescent="0.2">
      <c r="A387" t="s">
        <v>50</v>
      </c>
      <c r="B387" t="s">
        <v>1928</v>
      </c>
      <c r="C387" t="s">
        <v>7</v>
      </c>
      <c r="D387" t="s">
        <v>1929</v>
      </c>
      <c r="F387" t="s">
        <v>1902</v>
      </c>
      <c r="G387" t="s">
        <v>1810</v>
      </c>
    </row>
    <row r="388" spans="1:7" x14ac:dyDescent="0.2">
      <c r="A388" t="s">
        <v>43</v>
      </c>
      <c r="B388" t="s">
        <v>1252</v>
      </c>
      <c r="C388" t="s">
        <v>7</v>
      </c>
      <c r="D388" t="s">
        <v>1930</v>
      </c>
      <c r="G388" t="s">
        <v>1611</v>
      </c>
    </row>
    <row r="389" spans="1:7" x14ac:dyDescent="0.2">
      <c r="A389" t="s">
        <v>43</v>
      </c>
      <c r="B389" t="s">
        <v>1253</v>
      </c>
      <c r="C389" t="s">
        <v>7</v>
      </c>
      <c r="E389" t="s">
        <v>1931</v>
      </c>
      <c r="G389" t="s">
        <v>1611</v>
      </c>
    </row>
    <row r="390" spans="1:7" x14ac:dyDescent="0.2">
      <c r="A390" t="s">
        <v>1379</v>
      </c>
      <c r="B390" t="s">
        <v>1254</v>
      </c>
      <c r="C390" t="s">
        <v>7</v>
      </c>
      <c r="D390" t="s">
        <v>1932</v>
      </c>
      <c r="F390" t="s">
        <v>1381</v>
      </c>
      <c r="G390" t="s">
        <v>1933</v>
      </c>
    </row>
    <row r="391" spans="1:7" x14ac:dyDescent="0.2">
      <c r="A391" t="s">
        <v>1379</v>
      </c>
      <c r="B391" t="s">
        <v>1255</v>
      </c>
      <c r="C391" t="s">
        <v>7</v>
      </c>
      <c r="D391" t="s">
        <v>1934</v>
      </c>
      <c r="F391" t="s">
        <v>1381</v>
      </c>
      <c r="G391" t="s">
        <v>1933</v>
      </c>
    </row>
    <row r="392" spans="1:7" x14ac:dyDescent="0.2">
      <c r="A392" t="s">
        <v>1379</v>
      </c>
      <c r="B392" t="s">
        <v>1256</v>
      </c>
      <c r="C392" t="s">
        <v>7</v>
      </c>
      <c r="D392" t="s">
        <v>1935</v>
      </c>
      <c r="F392" t="s">
        <v>1381</v>
      </c>
      <c r="G392" t="s">
        <v>1933</v>
      </c>
    </row>
    <row r="393" spans="1:7" x14ac:dyDescent="0.2">
      <c r="A393" t="s">
        <v>1379</v>
      </c>
      <c r="B393" t="s">
        <v>1257</v>
      </c>
      <c r="C393" t="s">
        <v>7</v>
      </c>
      <c r="D393" t="s">
        <v>1936</v>
      </c>
      <c r="F393" t="s">
        <v>1370</v>
      </c>
      <c r="G393" t="s">
        <v>1937</v>
      </c>
    </row>
    <row r="394" spans="1:7" x14ac:dyDescent="0.2">
      <c r="A394" t="s">
        <v>1379</v>
      </c>
      <c r="B394" t="s">
        <v>1258</v>
      </c>
      <c r="C394" t="s">
        <v>7</v>
      </c>
      <c r="D394" t="s">
        <v>1938</v>
      </c>
      <c r="F394" t="s">
        <v>1370</v>
      </c>
      <c r="G394" t="s">
        <v>1484</v>
      </c>
    </row>
    <row r="395" spans="1:7" x14ac:dyDescent="0.2">
      <c r="A395" t="s">
        <v>43</v>
      </c>
      <c r="B395" t="s">
        <v>1259</v>
      </c>
      <c r="C395" t="s">
        <v>7</v>
      </c>
      <c r="D395" t="s">
        <v>1939</v>
      </c>
      <c r="E395" t="s">
        <v>1940</v>
      </c>
      <c r="F395" t="s">
        <v>1381</v>
      </c>
      <c r="G395" t="s">
        <v>1941</v>
      </c>
    </row>
    <row r="396" spans="1:7" x14ac:dyDescent="0.2">
      <c r="A396" t="s">
        <v>43</v>
      </c>
      <c r="B396" t="s">
        <v>1260</v>
      </c>
      <c r="C396" t="s">
        <v>7</v>
      </c>
      <c r="D396" t="s">
        <v>1942</v>
      </c>
      <c r="E396" t="s">
        <v>1940</v>
      </c>
      <c r="F396" t="s">
        <v>1381</v>
      </c>
      <c r="G396" t="s">
        <v>1941</v>
      </c>
    </row>
    <row r="397" spans="1:7" x14ac:dyDescent="0.2">
      <c r="A397" t="s">
        <v>830</v>
      </c>
      <c r="B397" t="s">
        <v>1261</v>
      </c>
      <c r="C397" t="s">
        <v>642</v>
      </c>
      <c r="D397" t="s">
        <v>1445</v>
      </c>
      <c r="E397" t="s">
        <v>1943</v>
      </c>
    </row>
    <row r="398" spans="1:7" x14ac:dyDescent="0.2">
      <c r="A398" t="s">
        <v>830</v>
      </c>
      <c r="B398" t="s">
        <v>1262</v>
      </c>
      <c r="C398" t="s">
        <v>642</v>
      </c>
      <c r="E398" t="s">
        <v>1943</v>
      </c>
      <c r="G398" t="s">
        <v>279</v>
      </c>
    </row>
    <row r="399" spans="1:7" x14ac:dyDescent="0.2">
      <c r="A399" t="s">
        <v>830</v>
      </c>
      <c r="B399" t="s">
        <v>1263</v>
      </c>
      <c r="C399" t="s">
        <v>642</v>
      </c>
      <c r="D399" t="s">
        <v>277</v>
      </c>
      <c r="E399" t="s">
        <v>1943</v>
      </c>
    </row>
    <row r="400" spans="1:7" x14ac:dyDescent="0.2">
      <c r="A400" t="s">
        <v>1739</v>
      </c>
      <c r="B400" t="s">
        <v>1944</v>
      </c>
      <c r="C400" t="s">
        <v>614</v>
      </c>
      <c r="D400" t="s">
        <v>1945</v>
      </c>
      <c r="G400" t="s">
        <v>1946</v>
      </c>
    </row>
    <row r="401" spans="1:7" x14ac:dyDescent="0.2">
      <c r="A401" t="s">
        <v>1739</v>
      </c>
      <c r="B401" t="s">
        <v>1947</v>
      </c>
      <c r="C401" t="s">
        <v>614</v>
      </c>
      <c r="D401" t="s">
        <v>1948</v>
      </c>
      <c r="G401" t="s">
        <v>1946</v>
      </c>
    </row>
    <row r="402" spans="1:7" x14ac:dyDescent="0.2">
      <c r="A402" t="s">
        <v>688</v>
      </c>
      <c r="B402" t="s">
        <v>1949</v>
      </c>
      <c r="C402" t="s">
        <v>642</v>
      </c>
      <c r="D402" t="s">
        <v>1819</v>
      </c>
      <c r="F402" t="s">
        <v>1370</v>
      </c>
      <c r="G402" t="s">
        <v>1950</v>
      </c>
    </row>
    <row r="403" spans="1:7" x14ac:dyDescent="0.2">
      <c r="A403" t="s">
        <v>43</v>
      </c>
      <c r="B403" t="s">
        <v>1951</v>
      </c>
      <c r="C403" t="s">
        <v>7</v>
      </c>
      <c r="D403" t="s">
        <v>1952</v>
      </c>
      <c r="G403" t="s">
        <v>1953</v>
      </c>
    </row>
    <row r="404" spans="1:7" x14ac:dyDescent="0.2">
      <c r="A404" t="s">
        <v>43</v>
      </c>
      <c r="B404" t="s">
        <v>1954</v>
      </c>
      <c r="C404" t="s">
        <v>7</v>
      </c>
      <c r="D404" t="s">
        <v>1955</v>
      </c>
      <c r="G404" t="s">
        <v>1956</v>
      </c>
    </row>
    <row r="405" spans="1:7" x14ac:dyDescent="0.2">
      <c r="A405" t="s">
        <v>1551</v>
      </c>
      <c r="B405" t="s">
        <v>1957</v>
      </c>
      <c r="C405" t="s">
        <v>7</v>
      </c>
      <c r="D405" t="s">
        <v>1958</v>
      </c>
      <c r="G405" t="s">
        <v>1946</v>
      </c>
    </row>
    <row r="406" spans="1:7" x14ac:dyDescent="0.2">
      <c r="A406" t="s">
        <v>1551</v>
      </c>
      <c r="B406" t="s">
        <v>1959</v>
      </c>
      <c r="C406" t="s">
        <v>7</v>
      </c>
      <c r="D406" t="s">
        <v>1960</v>
      </c>
      <c r="G406" t="s">
        <v>1961</v>
      </c>
    </row>
    <row r="407" spans="1:7" x14ac:dyDescent="0.2">
      <c r="A407" t="s">
        <v>1739</v>
      </c>
      <c r="B407" t="s">
        <v>1264</v>
      </c>
      <c r="C407" t="s">
        <v>7</v>
      </c>
      <c r="D407" t="s">
        <v>1264</v>
      </c>
    </row>
    <row r="408" spans="1:7" x14ac:dyDescent="0.2">
      <c r="A408" t="s">
        <v>1739</v>
      </c>
      <c r="B408" t="s">
        <v>1265</v>
      </c>
      <c r="C408" t="s">
        <v>7</v>
      </c>
      <c r="D408" t="s">
        <v>1265</v>
      </c>
    </row>
    <row r="409" spans="1:7" x14ac:dyDescent="0.2">
      <c r="A409" t="s">
        <v>1419</v>
      </c>
      <c r="B409" t="s">
        <v>1962</v>
      </c>
      <c r="C409" t="s">
        <v>7</v>
      </c>
      <c r="D409" t="s">
        <v>1963</v>
      </c>
      <c r="F409" t="s">
        <v>1370</v>
      </c>
      <c r="G409" t="s">
        <v>1964</v>
      </c>
    </row>
    <row r="410" spans="1:7" x14ac:dyDescent="0.2">
      <c r="A410" t="s">
        <v>1419</v>
      </c>
      <c r="B410" t="s">
        <v>1965</v>
      </c>
      <c r="C410" t="s">
        <v>7</v>
      </c>
      <c r="D410" t="s">
        <v>1966</v>
      </c>
      <c r="F410" t="s">
        <v>1370</v>
      </c>
      <c r="G410" t="s">
        <v>1964</v>
      </c>
    </row>
    <row r="411" spans="1:7" x14ac:dyDescent="0.2">
      <c r="A411" t="s">
        <v>1419</v>
      </c>
      <c r="B411" t="s">
        <v>1967</v>
      </c>
      <c r="C411" t="s">
        <v>7</v>
      </c>
      <c r="D411" t="s">
        <v>1968</v>
      </c>
      <c r="F411" t="s">
        <v>1370</v>
      </c>
      <c r="G411" t="s">
        <v>1964</v>
      </c>
    </row>
    <row r="412" spans="1:7" x14ac:dyDescent="0.2">
      <c r="A412" t="s">
        <v>1419</v>
      </c>
      <c r="B412" t="s">
        <v>1969</v>
      </c>
      <c r="C412" t="s">
        <v>7</v>
      </c>
      <c r="D412" t="s">
        <v>1970</v>
      </c>
      <c r="F412" t="s">
        <v>1370</v>
      </c>
      <c r="G412" t="s">
        <v>1964</v>
      </c>
    </row>
    <row r="413" spans="1:7" x14ac:dyDescent="0.2">
      <c r="A413" t="s">
        <v>1379</v>
      </c>
      <c r="B413" t="s">
        <v>1266</v>
      </c>
      <c r="C413" t="s">
        <v>843</v>
      </c>
      <c r="D413" t="s">
        <v>1971</v>
      </c>
      <c r="F413" t="s">
        <v>1367</v>
      </c>
      <c r="G413" t="s">
        <v>1972</v>
      </c>
    </row>
    <row r="414" spans="1:7" x14ac:dyDescent="0.2">
      <c r="A414" t="s">
        <v>1379</v>
      </c>
      <c r="B414" t="s">
        <v>1267</v>
      </c>
      <c r="C414" t="s">
        <v>249</v>
      </c>
      <c r="E414" t="s">
        <v>1973</v>
      </c>
      <c r="F414" t="s">
        <v>1370</v>
      </c>
      <c r="G414" t="s">
        <v>1974</v>
      </c>
    </row>
    <row r="415" spans="1:7" x14ac:dyDescent="0.2">
      <c r="A415" t="s">
        <v>1379</v>
      </c>
      <c r="B415" t="s">
        <v>1268</v>
      </c>
      <c r="C415" t="s">
        <v>7</v>
      </c>
      <c r="D415" t="s">
        <v>1975</v>
      </c>
      <c r="G415" t="s">
        <v>1976</v>
      </c>
    </row>
    <row r="416" spans="1:7" x14ac:dyDescent="0.2">
      <c r="A416" t="s">
        <v>1379</v>
      </c>
      <c r="B416" t="s">
        <v>1269</v>
      </c>
      <c r="C416" t="s">
        <v>7</v>
      </c>
      <c r="D416" t="s">
        <v>1977</v>
      </c>
      <c r="G416" t="s">
        <v>1976</v>
      </c>
    </row>
    <row r="417" spans="1:7" x14ac:dyDescent="0.2">
      <c r="A417" t="s">
        <v>688</v>
      </c>
      <c r="B417" t="s">
        <v>1270</v>
      </c>
      <c r="C417" t="s">
        <v>520</v>
      </c>
      <c r="F417" t="s">
        <v>1370</v>
      </c>
      <c r="G417" t="s">
        <v>1978</v>
      </c>
    </row>
    <row r="418" spans="1:7" x14ac:dyDescent="0.2">
      <c r="A418" t="s">
        <v>1379</v>
      </c>
      <c r="B418" t="s">
        <v>1271</v>
      </c>
      <c r="C418" t="s">
        <v>614</v>
      </c>
      <c r="D418" t="s">
        <v>1979</v>
      </c>
    </row>
    <row r="419" spans="1:7" x14ac:dyDescent="0.2">
      <c r="A419" t="s">
        <v>1379</v>
      </c>
      <c r="B419" t="s">
        <v>1272</v>
      </c>
      <c r="C419" t="s">
        <v>614</v>
      </c>
      <c r="D419" t="s">
        <v>1980</v>
      </c>
      <c r="G419" t="s">
        <v>1882</v>
      </c>
    </row>
    <row r="420" spans="1:7" x14ac:dyDescent="0.2">
      <c r="A420" t="s">
        <v>1419</v>
      </c>
      <c r="B420" t="s">
        <v>1273</v>
      </c>
      <c r="C420" t="s">
        <v>7</v>
      </c>
      <c r="D420" t="s">
        <v>1981</v>
      </c>
    </row>
    <row r="421" spans="1:7" x14ac:dyDescent="0.2">
      <c r="A421" t="s">
        <v>795</v>
      </c>
      <c r="B421" t="s">
        <v>1274</v>
      </c>
      <c r="C421" t="s">
        <v>708</v>
      </c>
      <c r="D421" t="s">
        <v>1982</v>
      </c>
      <c r="G421" t="s">
        <v>1699</v>
      </c>
    </row>
    <row r="422" spans="1:7" x14ac:dyDescent="0.2">
      <c r="A422" t="s">
        <v>795</v>
      </c>
      <c r="B422" t="s">
        <v>1275</v>
      </c>
      <c r="C422" t="s">
        <v>708</v>
      </c>
      <c r="D422" t="s">
        <v>1983</v>
      </c>
    </row>
    <row r="423" spans="1:7" x14ac:dyDescent="0.2">
      <c r="A423" t="s">
        <v>43</v>
      </c>
      <c r="B423" t="s">
        <v>1276</v>
      </c>
      <c r="C423" t="s">
        <v>7</v>
      </c>
      <c r="D423" t="s">
        <v>1984</v>
      </c>
      <c r="F423" t="s">
        <v>1985</v>
      </c>
      <c r="G423" t="s">
        <v>1986</v>
      </c>
    </row>
    <row r="424" spans="1:7" x14ac:dyDescent="0.2">
      <c r="A424" t="s">
        <v>1419</v>
      </c>
      <c r="B424" t="s">
        <v>1277</v>
      </c>
      <c r="C424" t="s">
        <v>7</v>
      </c>
      <c r="D424" t="s">
        <v>1872</v>
      </c>
      <c r="F424" t="s">
        <v>1381</v>
      </c>
      <c r="G424" t="s">
        <v>1873</v>
      </c>
    </row>
    <row r="425" spans="1:7" x14ac:dyDescent="0.2">
      <c r="A425" t="s">
        <v>1419</v>
      </c>
      <c r="B425" t="s">
        <v>1278</v>
      </c>
      <c r="C425" t="s">
        <v>7</v>
      </c>
      <c r="D425" t="s">
        <v>1643</v>
      </c>
      <c r="F425" t="s">
        <v>1381</v>
      </c>
      <c r="G425" t="s">
        <v>1873</v>
      </c>
    </row>
    <row r="426" spans="1:7" x14ac:dyDescent="0.2">
      <c r="A426" t="s">
        <v>1419</v>
      </c>
      <c r="B426" t="s">
        <v>1279</v>
      </c>
      <c r="C426" t="s">
        <v>7</v>
      </c>
      <c r="D426" t="s">
        <v>1987</v>
      </c>
      <c r="F426" t="s">
        <v>1381</v>
      </c>
      <c r="G426" t="s">
        <v>1873</v>
      </c>
    </row>
    <row r="427" spans="1:7" x14ac:dyDescent="0.2">
      <c r="A427" t="s">
        <v>863</v>
      </c>
      <c r="B427" t="s">
        <v>1988</v>
      </c>
      <c r="C427" t="s">
        <v>7</v>
      </c>
      <c r="D427" t="s">
        <v>1989</v>
      </c>
      <c r="G427" t="s">
        <v>1990</v>
      </c>
    </row>
    <row r="428" spans="1:7" x14ac:dyDescent="0.2">
      <c r="A428" t="s">
        <v>863</v>
      </c>
      <c r="B428" t="s">
        <v>1991</v>
      </c>
      <c r="C428" t="s">
        <v>7</v>
      </c>
      <c r="D428" t="s">
        <v>1992</v>
      </c>
      <c r="G428" t="s">
        <v>1990</v>
      </c>
    </row>
    <row r="429" spans="1:7" x14ac:dyDescent="0.2">
      <c r="A429" t="s">
        <v>863</v>
      </c>
      <c r="B429" t="s">
        <v>1993</v>
      </c>
      <c r="C429" t="s">
        <v>7</v>
      </c>
      <c r="D429" t="s">
        <v>1994</v>
      </c>
      <c r="G429" t="s">
        <v>1990</v>
      </c>
    </row>
    <row r="430" spans="1:7" x14ac:dyDescent="0.2">
      <c r="A430" t="s">
        <v>867</v>
      </c>
      <c r="B430" t="s">
        <v>1995</v>
      </c>
      <c r="C430" t="s">
        <v>7</v>
      </c>
      <c r="D430" t="s">
        <v>1989</v>
      </c>
      <c r="G430" t="s">
        <v>1996</v>
      </c>
    </row>
    <row r="431" spans="1:7" x14ac:dyDescent="0.2">
      <c r="A431" t="s">
        <v>867</v>
      </c>
      <c r="B431" t="s">
        <v>1997</v>
      </c>
      <c r="C431" t="s">
        <v>7</v>
      </c>
      <c r="D431" t="s">
        <v>1998</v>
      </c>
      <c r="G431" t="s">
        <v>1996</v>
      </c>
    </row>
    <row r="432" spans="1:7" x14ac:dyDescent="0.2">
      <c r="A432" t="s">
        <v>867</v>
      </c>
      <c r="B432" t="s">
        <v>1999</v>
      </c>
      <c r="C432" t="s">
        <v>7</v>
      </c>
      <c r="D432" t="s">
        <v>2000</v>
      </c>
      <c r="G432" t="s">
        <v>1996</v>
      </c>
    </row>
    <row r="433" spans="1:7" x14ac:dyDescent="0.2">
      <c r="A433" t="s">
        <v>867</v>
      </c>
      <c r="B433" t="s">
        <v>2001</v>
      </c>
      <c r="C433" t="s">
        <v>7</v>
      </c>
      <c r="D433" t="s">
        <v>2002</v>
      </c>
      <c r="G433" t="s">
        <v>1996</v>
      </c>
    </row>
    <row r="434" spans="1:7" x14ac:dyDescent="0.2">
      <c r="A434" t="s">
        <v>43</v>
      </c>
      <c r="B434" t="s">
        <v>1280</v>
      </c>
      <c r="C434" t="s">
        <v>753</v>
      </c>
      <c r="F434" t="s">
        <v>1892</v>
      </c>
      <c r="G434" t="s">
        <v>2003</v>
      </c>
    </row>
    <row r="435" spans="1:7" x14ac:dyDescent="0.2">
      <c r="A435" t="s">
        <v>1379</v>
      </c>
      <c r="B435" t="s">
        <v>1281</v>
      </c>
      <c r="C435" t="s">
        <v>1547</v>
      </c>
      <c r="E435" t="s">
        <v>2004</v>
      </c>
      <c r="F435" t="s">
        <v>1370</v>
      </c>
      <c r="G435" t="s">
        <v>2005</v>
      </c>
    </row>
    <row r="436" spans="1:7" x14ac:dyDescent="0.2">
      <c r="A436" t="s">
        <v>43</v>
      </c>
      <c r="B436" t="s">
        <v>1282</v>
      </c>
      <c r="C436" t="s">
        <v>924</v>
      </c>
      <c r="D436" t="s">
        <v>2006</v>
      </c>
      <c r="G436" t="s">
        <v>2007</v>
      </c>
    </row>
    <row r="437" spans="1:7" x14ac:dyDescent="0.2">
      <c r="A437" t="s">
        <v>1379</v>
      </c>
      <c r="B437" t="s">
        <v>1283</v>
      </c>
      <c r="C437" t="s">
        <v>7</v>
      </c>
      <c r="D437" t="s">
        <v>2008</v>
      </c>
      <c r="G437" t="s">
        <v>2009</v>
      </c>
    </row>
    <row r="438" spans="1:7" x14ac:dyDescent="0.2">
      <c r="A438" t="s">
        <v>43</v>
      </c>
      <c r="B438" t="s">
        <v>1284</v>
      </c>
      <c r="C438" t="s">
        <v>642</v>
      </c>
      <c r="D438" t="s">
        <v>2010</v>
      </c>
      <c r="F438" t="s">
        <v>1381</v>
      </c>
      <c r="G438" t="s">
        <v>1413</v>
      </c>
    </row>
    <row r="439" spans="1:7" x14ac:dyDescent="0.2">
      <c r="A439" t="s">
        <v>1379</v>
      </c>
      <c r="B439" t="s">
        <v>1285</v>
      </c>
      <c r="C439" t="s">
        <v>7</v>
      </c>
      <c r="D439" t="s">
        <v>2011</v>
      </c>
      <c r="G439" t="s">
        <v>2012</v>
      </c>
    </row>
    <row r="440" spans="1:7" x14ac:dyDescent="0.2">
      <c r="A440" t="s">
        <v>50</v>
      </c>
      <c r="B440" t="s">
        <v>2013</v>
      </c>
      <c r="C440" t="s">
        <v>7</v>
      </c>
      <c r="D440" t="s">
        <v>1686</v>
      </c>
      <c r="E440" t="s">
        <v>2014</v>
      </c>
      <c r="G440" t="s">
        <v>2015</v>
      </c>
    </row>
    <row r="441" spans="1:7" x14ac:dyDescent="0.2">
      <c r="A441" t="s">
        <v>50</v>
      </c>
      <c r="B441" t="s">
        <v>2016</v>
      </c>
      <c r="C441" t="s">
        <v>7</v>
      </c>
      <c r="E441" t="s">
        <v>2014</v>
      </c>
      <c r="G441" t="s">
        <v>2017</v>
      </c>
    </row>
    <row r="442" spans="1:7" x14ac:dyDescent="0.2">
      <c r="A442" t="s">
        <v>1379</v>
      </c>
      <c r="B442" t="s">
        <v>931</v>
      </c>
      <c r="C442" t="s">
        <v>7</v>
      </c>
      <c r="D442" t="s">
        <v>1686</v>
      </c>
      <c r="F442" t="s">
        <v>1370</v>
      </c>
      <c r="G442" t="s">
        <v>2018</v>
      </c>
    </row>
    <row r="443" spans="1:7" x14ac:dyDescent="0.2">
      <c r="A443" t="s">
        <v>1379</v>
      </c>
      <c r="B443" t="s">
        <v>932</v>
      </c>
      <c r="C443" t="s">
        <v>7</v>
      </c>
      <c r="D443" t="s">
        <v>2019</v>
      </c>
      <c r="G443" t="s">
        <v>2020</v>
      </c>
    </row>
    <row r="444" spans="1:7" x14ac:dyDescent="0.2">
      <c r="A444" t="s">
        <v>1379</v>
      </c>
      <c r="B444" t="s">
        <v>1286</v>
      </c>
      <c r="C444" t="s">
        <v>1547</v>
      </c>
      <c r="D444" t="s">
        <v>1286</v>
      </c>
    </row>
    <row r="445" spans="1:7" x14ac:dyDescent="0.2">
      <c r="A445" t="s">
        <v>1379</v>
      </c>
      <c r="B445" t="s">
        <v>1287</v>
      </c>
      <c r="C445" t="s">
        <v>7</v>
      </c>
      <c r="D445" t="s">
        <v>2021</v>
      </c>
      <c r="F445" t="s">
        <v>2022</v>
      </c>
    </row>
    <row r="446" spans="1:7" x14ac:dyDescent="0.2">
      <c r="A446" t="s">
        <v>43</v>
      </c>
      <c r="B446" t="s">
        <v>935</v>
      </c>
      <c r="C446" t="s">
        <v>7</v>
      </c>
      <c r="G446" t="s">
        <v>2023</v>
      </c>
    </row>
    <row r="447" spans="1:7" x14ac:dyDescent="0.2">
      <c r="A447" t="s">
        <v>43</v>
      </c>
      <c r="B447" t="s">
        <v>1288</v>
      </c>
      <c r="C447" t="s">
        <v>7</v>
      </c>
      <c r="D447" t="s">
        <v>2024</v>
      </c>
      <c r="F447" t="s">
        <v>1440</v>
      </c>
      <c r="G447" t="s">
        <v>2025</v>
      </c>
    </row>
    <row r="448" spans="1:7" x14ac:dyDescent="0.2">
      <c r="A448" t="s">
        <v>43</v>
      </c>
      <c r="B448" t="s">
        <v>1289</v>
      </c>
      <c r="C448" t="s">
        <v>7</v>
      </c>
      <c r="D448" t="s">
        <v>1987</v>
      </c>
      <c r="F448" t="s">
        <v>2026</v>
      </c>
      <c r="G448" t="s">
        <v>2025</v>
      </c>
    </row>
    <row r="449" spans="1:7" x14ac:dyDescent="0.2">
      <c r="A449" t="s">
        <v>43</v>
      </c>
      <c r="B449" t="s">
        <v>1290</v>
      </c>
      <c r="C449" t="s">
        <v>7</v>
      </c>
      <c r="D449" t="s">
        <v>1686</v>
      </c>
      <c r="F449" t="s">
        <v>2026</v>
      </c>
      <c r="G449" t="s">
        <v>2025</v>
      </c>
    </row>
    <row r="450" spans="1:7" x14ac:dyDescent="0.2">
      <c r="A450" t="s">
        <v>43</v>
      </c>
      <c r="B450" t="s">
        <v>1291</v>
      </c>
      <c r="C450" t="s">
        <v>7</v>
      </c>
      <c r="D450" t="s">
        <v>2027</v>
      </c>
      <c r="F450" t="s">
        <v>1440</v>
      </c>
      <c r="G450" t="s">
        <v>2025</v>
      </c>
    </row>
    <row r="451" spans="1:7" x14ac:dyDescent="0.2">
      <c r="A451" t="s">
        <v>1379</v>
      </c>
      <c r="B451" t="s">
        <v>1292</v>
      </c>
      <c r="C451" t="s">
        <v>7</v>
      </c>
      <c r="D451" t="s">
        <v>2028</v>
      </c>
      <c r="F451" t="s">
        <v>1440</v>
      </c>
    </row>
    <row r="452" spans="1:7" x14ac:dyDescent="0.2">
      <c r="A452" t="s">
        <v>1379</v>
      </c>
      <c r="B452" t="s">
        <v>1293</v>
      </c>
      <c r="C452" t="s">
        <v>642</v>
      </c>
      <c r="D452" t="s">
        <v>1686</v>
      </c>
      <c r="F452" t="s">
        <v>1370</v>
      </c>
      <c r="G452" t="s">
        <v>2029</v>
      </c>
    </row>
    <row r="453" spans="1:7" x14ac:dyDescent="0.2">
      <c r="A453" t="s">
        <v>43</v>
      </c>
      <c r="B453" t="s">
        <v>1294</v>
      </c>
      <c r="C453" t="s">
        <v>7</v>
      </c>
      <c r="D453" t="s">
        <v>2030</v>
      </c>
      <c r="F453" t="s">
        <v>2031</v>
      </c>
    </row>
    <row r="454" spans="1:7" x14ac:dyDescent="0.2">
      <c r="A454" t="s">
        <v>1379</v>
      </c>
      <c r="B454" t="s">
        <v>941</v>
      </c>
      <c r="C454" t="s">
        <v>7</v>
      </c>
      <c r="D454" t="s">
        <v>2032</v>
      </c>
      <c r="F454" t="s">
        <v>1370</v>
      </c>
      <c r="G454" t="s">
        <v>2033</v>
      </c>
    </row>
    <row r="455" spans="1:7" x14ac:dyDescent="0.2">
      <c r="A455" t="s">
        <v>1379</v>
      </c>
      <c r="B455" t="s">
        <v>1295</v>
      </c>
      <c r="C455" t="s">
        <v>7</v>
      </c>
      <c r="D455" t="s">
        <v>2034</v>
      </c>
      <c r="F455" t="s">
        <v>1370</v>
      </c>
      <c r="G455" t="s">
        <v>2035</v>
      </c>
    </row>
    <row r="456" spans="1:7" x14ac:dyDescent="0.2">
      <c r="A456" t="s">
        <v>1379</v>
      </c>
      <c r="B456" t="s">
        <v>1296</v>
      </c>
      <c r="C456" t="s">
        <v>7</v>
      </c>
      <c r="D456" t="s">
        <v>1686</v>
      </c>
      <c r="F456" t="s">
        <v>2036</v>
      </c>
      <c r="G456" t="s">
        <v>2037</v>
      </c>
    </row>
    <row r="457" spans="1:7" x14ac:dyDescent="0.2">
      <c r="A457" t="s">
        <v>1379</v>
      </c>
      <c r="B457" t="s">
        <v>944</v>
      </c>
      <c r="C457" t="s">
        <v>7</v>
      </c>
      <c r="D457" t="s">
        <v>2038</v>
      </c>
      <c r="F457" t="s">
        <v>1370</v>
      </c>
      <c r="G457" t="s">
        <v>2039</v>
      </c>
    </row>
    <row r="458" spans="1:7" x14ac:dyDescent="0.2">
      <c r="A458" t="s">
        <v>1379</v>
      </c>
      <c r="B458" t="s">
        <v>1297</v>
      </c>
      <c r="C458" t="s">
        <v>7</v>
      </c>
      <c r="D458" t="s">
        <v>2040</v>
      </c>
      <c r="F458" t="s">
        <v>1367</v>
      </c>
      <c r="G458" t="s">
        <v>1555</v>
      </c>
    </row>
    <row r="459" spans="1:7" x14ac:dyDescent="0.2">
      <c r="A459" t="s">
        <v>1379</v>
      </c>
      <c r="B459" t="s">
        <v>1298</v>
      </c>
      <c r="C459" t="s">
        <v>1547</v>
      </c>
      <c r="D459" t="s">
        <v>2041</v>
      </c>
      <c r="F459" t="s">
        <v>1457</v>
      </c>
    </row>
    <row r="460" spans="1:7" x14ac:dyDescent="0.2">
      <c r="A460" t="s">
        <v>1379</v>
      </c>
      <c r="B460" t="s">
        <v>2042</v>
      </c>
      <c r="C460" t="s">
        <v>7</v>
      </c>
      <c r="D460" t="s">
        <v>2042</v>
      </c>
    </row>
    <row r="461" spans="1:7" x14ac:dyDescent="0.2">
      <c r="A461" t="s">
        <v>1379</v>
      </c>
      <c r="B461" t="s">
        <v>2043</v>
      </c>
      <c r="C461" t="s">
        <v>7</v>
      </c>
      <c r="D461" t="s">
        <v>2043</v>
      </c>
    </row>
    <row r="462" spans="1:7" x14ac:dyDescent="0.2">
      <c r="A462" t="s">
        <v>1379</v>
      </c>
      <c r="B462" t="s">
        <v>947</v>
      </c>
      <c r="C462" t="s">
        <v>924</v>
      </c>
      <c r="D462" t="s">
        <v>2044</v>
      </c>
      <c r="F462" t="s">
        <v>1381</v>
      </c>
    </row>
    <row r="463" spans="1:7" x14ac:dyDescent="0.2">
      <c r="A463" t="s">
        <v>688</v>
      </c>
      <c r="B463" t="s">
        <v>1299</v>
      </c>
      <c r="C463" t="s">
        <v>520</v>
      </c>
      <c r="D463" t="s">
        <v>2045</v>
      </c>
      <c r="G463" t="s">
        <v>2046</v>
      </c>
    </row>
    <row r="464" spans="1:7" x14ac:dyDescent="0.2">
      <c r="A464" t="s">
        <v>688</v>
      </c>
      <c r="B464" t="s">
        <v>948</v>
      </c>
      <c r="C464" t="s">
        <v>520</v>
      </c>
      <c r="D464" t="s">
        <v>2047</v>
      </c>
      <c r="G464" t="s">
        <v>2046</v>
      </c>
    </row>
    <row r="465" spans="1:7" x14ac:dyDescent="0.2">
      <c r="A465" t="s">
        <v>1379</v>
      </c>
      <c r="B465" t="s">
        <v>1300</v>
      </c>
      <c r="C465" t="s">
        <v>2048</v>
      </c>
      <c r="D465" t="s">
        <v>2049</v>
      </c>
      <c r="G465" t="s">
        <v>2050</v>
      </c>
    </row>
    <row r="466" spans="1:7" x14ac:dyDescent="0.2">
      <c r="A466" t="s">
        <v>1379</v>
      </c>
      <c r="B466" t="s">
        <v>951</v>
      </c>
      <c r="C466" t="s">
        <v>952</v>
      </c>
      <c r="D466" t="s">
        <v>2038</v>
      </c>
      <c r="F466" t="s">
        <v>1370</v>
      </c>
      <c r="G466" t="s">
        <v>2051</v>
      </c>
    </row>
    <row r="467" spans="1:7" x14ac:dyDescent="0.2">
      <c r="A467" t="s">
        <v>1379</v>
      </c>
      <c r="B467" t="s">
        <v>1301</v>
      </c>
      <c r="C467" t="s">
        <v>7</v>
      </c>
      <c r="D467" t="s">
        <v>1301</v>
      </c>
    </row>
    <row r="468" spans="1:7" x14ac:dyDescent="0.2">
      <c r="A468" t="s">
        <v>1379</v>
      </c>
      <c r="B468" t="s">
        <v>1302</v>
      </c>
      <c r="C468" t="s">
        <v>7</v>
      </c>
      <c r="D468" t="s">
        <v>1302</v>
      </c>
    </row>
    <row r="469" spans="1:7" x14ac:dyDescent="0.2">
      <c r="A469" t="s">
        <v>1379</v>
      </c>
      <c r="B469" t="s">
        <v>1303</v>
      </c>
      <c r="C469" t="s">
        <v>7</v>
      </c>
      <c r="D469" t="s">
        <v>1303</v>
      </c>
    </row>
    <row r="470" spans="1:7" x14ac:dyDescent="0.2">
      <c r="A470" t="s">
        <v>43</v>
      </c>
      <c r="B470" t="s">
        <v>1304</v>
      </c>
      <c r="C470" t="s">
        <v>249</v>
      </c>
      <c r="D470" t="s">
        <v>2052</v>
      </c>
      <c r="G470" t="s">
        <v>1423</v>
      </c>
    </row>
    <row r="471" spans="1:7" x14ac:dyDescent="0.2">
      <c r="A471" t="s">
        <v>1379</v>
      </c>
      <c r="B471" t="s">
        <v>1305</v>
      </c>
      <c r="C471" t="s">
        <v>7</v>
      </c>
      <c r="D471" t="s">
        <v>1660</v>
      </c>
      <c r="F471" t="s">
        <v>2053</v>
      </c>
      <c r="G471" t="s">
        <v>2054</v>
      </c>
    </row>
    <row r="472" spans="1:7" x14ac:dyDescent="0.2">
      <c r="A472" t="s">
        <v>1379</v>
      </c>
      <c r="B472" t="s">
        <v>1306</v>
      </c>
      <c r="C472" t="s">
        <v>7</v>
      </c>
      <c r="D472" t="s">
        <v>2055</v>
      </c>
      <c r="F472" t="s">
        <v>2053</v>
      </c>
      <c r="G472" t="s">
        <v>2056</v>
      </c>
    </row>
    <row r="473" spans="1:7" x14ac:dyDescent="0.2">
      <c r="A473" t="s">
        <v>1379</v>
      </c>
      <c r="B473" t="s">
        <v>1307</v>
      </c>
      <c r="C473" t="s">
        <v>7</v>
      </c>
      <c r="D473" t="s">
        <v>1710</v>
      </c>
      <c r="F473" t="s">
        <v>2053</v>
      </c>
      <c r="G473" t="s">
        <v>2056</v>
      </c>
    </row>
    <row r="474" spans="1:7" x14ac:dyDescent="0.2">
      <c r="A474" t="s">
        <v>1379</v>
      </c>
      <c r="B474" t="s">
        <v>1308</v>
      </c>
      <c r="C474" t="s">
        <v>7</v>
      </c>
      <c r="F474" t="s">
        <v>2053</v>
      </c>
      <c r="G474" t="s">
        <v>2057</v>
      </c>
    </row>
    <row r="475" spans="1:7" x14ac:dyDescent="0.2">
      <c r="A475" t="s">
        <v>1379</v>
      </c>
      <c r="B475" t="s">
        <v>1309</v>
      </c>
      <c r="C475" t="s">
        <v>7</v>
      </c>
      <c r="D475" t="s">
        <v>1710</v>
      </c>
      <c r="F475" t="s">
        <v>2058</v>
      </c>
      <c r="G475" t="s">
        <v>2059</v>
      </c>
    </row>
    <row r="476" spans="1:7" x14ac:dyDescent="0.2">
      <c r="A476" t="s">
        <v>1379</v>
      </c>
      <c r="B476" t="s">
        <v>1310</v>
      </c>
      <c r="C476" t="s">
        <v>7</v>
      </c>
      <c r="D476" t="s">
        <v>1879</v>
      </c>
      <c r="F476" t="s">
        <v>2058</v>
      </c>
      <c r="G476" t="s">
        <v>2059</v>
      </c>
    </row>
    <row r="477" spans="1:7" x14ac:dyDescent="0.2">
      <c r="A477" t="s">
        <v>688</v>
      </c>
      <c r="B477" t="s">
        <v>1311</v>
      </c>
      <c r="C477" t="s">
        <v>520</v>
      </c>
      <c r="D477" t="s">
        <v>2060</v>
      </c>
      <c r="G477" t="s">
        <v>2061</v>
      </c>
    </row>
    <row r="478" spans="1:7" x14ac:dyDescent="0.2">
      <c r="A478" t="s">
        <v>688</v>
      </c>
      <c r="B478" t="s">
        <v>1312</v>
      </c>
      <c r="C478" t="s">
        <v>520</v>
      </c>
      <c r="D478" t="s">
        <v>2062</v>
      </c>
      <c r="G478" t="s">
        <v>2061</v>
      </c>
    </row>
    <row r="479" spans="1:7" x14ac:dyDescent="0.2">
      <c r="A479" t="s">
        <v>688</v>
      </c>
      <c r="B479" t="s">
        <v>1313</v>
      </c>
      <c r="C479" t="s">
        <v>520</v>
      </c>
      <c r="E479" t="s">
        <v>2063</v>
      </c>
      <c r="G479" t="s">
        <v>2061</v>
      </c>
    </row>
    <row r="480" spans="1:7" x14ac:dyDescent="0.2">
      <c r="A480" t="s">
        <v>43</v>
      </c>
      <c r="B480" t="s">
        <v>1314</v>
      </c>
      <c r="C480" t="s">
        <v>7</v>
      </c>
      <c r="D480" t="s">
        <v>1686</v>
      </c>
      <c r="F480" t="s">
        <v>1367</v>
      </c>
      <c r="G480" t="s">
        <v>2064</v>
      </c>
    </row>
    <row r="481" spans="1:7" x14ac:dyDescent="0.2">
      <c r="A481" t="s">
        <v>43</v>
      </c>
      <c r="B481" t="s">
        <v>1315</v>
      </c>
      <c r="C481" t="s">
        <v>7</v>
      </c>
      <c r="D481" t="s">
        <v>1710</v>
      </c>
      <c r="F481" t="s">
        <v>1367</v>
      </c>
      <c r="G481" t="s">
        <v>2064</v>
      </c>
    </row>
    <row r="482" spans="1:7" x14ac:dyDescent="0.2">
      <c r="A482" t="s">
        <v>43</v>
      </c>
      <c r="B482" t="s">
        <v>1316</v>
      </c>
      <c r="C482" t="s">
        <v>7</v>
      </c>
      <c r="D482" t="s">
        <v>1660</v>
      </c>
      <c r="F482" t="s">
        <v>1367</v>
      </c>
      <c r="G482" t="s">
        <v>2064</v>
      </c>
    </row>
    <row r="483" spans="1:7" x14ac:dyDescent="0.2">
      <c r="A483" t="s">
        <v>43</v>
      </c>
      <c r="B483" t="s">
        <v>1317</v>
      </c>
      <c r="C483" t="s">
        <v>753</v>
      </c>
      <c r="F483" t="s">
        <v>1892</v>
      </c>
      <c r="G483" t="s">
        <v>2065</v>
      </c>
    </row>
    <row r="484" spans="1:7" x14ac:dyDescent="0.2">
      <c r="A484" t="s">
        <v>43</v>
      </c>
      <c r="B484" t="s">
        <v>1318</v>
      </c>
      <c r="C484" t="s">
        <v>614</v>
      </c>
      <c r="D484" t="s">
        <v>2066</v>
      </c>
      <c r="F484" t="s">
        <v>1381</v>
      </c>
    </row>
    <row r="485" spans="1:7" x14ac:dyDescent="0.2">
      <c r="A485" t="s">
        <v>280</v>
      </c>
      <c r="B485" t="s">
        <v>2067</v>
      </c>
      <c r="C485" t="s">
        <v>642</v>
      </c>
      <c r="D485" t="s">
        <v>2068</v>
      </c>
      <c r="E485" t="s">
        <v>1844</v>
      </c>
    </row>
    <row r="486" spans="1:7" x14ac:dyDescent="0.2">
      <c r="A486" t="s">
        <v>280</v>
      </c>
      <c r="B486" t="s">
        <v>2069</v>
      </c>
      <c r="C486" t="s">
        <v>642</v>
      </c>
      <c r="E486" t="s">
        <v>2069</v>
      </c>
    </row>
    <row r="487" spans="1:7" x14ac:dyDescent="0.2">
      <c r="A487" t="s">
        <v>43</v>
      </c>
      <c r="B487" t="s">
        <v>1319</v>
      </c>
      <c r="C487" t="s">
        <v>614</v>
      </c>
      <c r="D487" t="s">
        <v>2070</v>
      </c>
      <c r="G487" t="s">
        <v>1490</v>
      </c>
    </row>
    <row r="488" spans="1:7" x14ac:dyDescent="0.2">
      <c r="A488" t="s">
        <v>50</v>
      </c>
      <c r="B488" t="s">
        <v>1320</v>
      </c>
      <c r="C488" t="s">
        <v>642</v>
      </c>
      <c r="G488" t="s">
        <v>1320</v>
      </c>
    </row>
    <row r="489" spans="1:7" x14ac:dyDescent="0.2">
      <c r="A489" t="s">
        <v>50</v>
      </c>
      <c r="B489" t="s">
        <v>1321</v>
      </c>
      <c r="C489" t="s">
        <v>2071</v>
      </c>
      <c r="D489" t="s">
        <v>2072</v>
      </c>
      <c r="E489" t="s">
        <v>2073</v>
      </c>
    </row>
    <row r="490" spans="1:7" x14ac:dyDescent="0.2">
      <c r="A490" t="s">
        <v>1379</v>
      </c>
      <c r="B490" t="s">
        <v>1322</v>
      </c>
      <c r="C490" t="s">
        <v>354</v>
      </c>
      <c r="G490" t="s">
        <v>2074</v>
      </c>
    </row>
    <row r="491" spans="1:7" x14ac:dyDescent="0.2">
      <c r="A491" t="s">
        <v>1379</v>
      </c>
      <c r="B491" t="s">
        <v>1323</v>
      </c>
      <c r="C491" t="s">
        <v>354</v>
      </c>
      <c r="D491" t="s">
        <v>2075</v>
      </c>
      <c r="G491" t="s">
        <v>2076</v>
      </c>
    </row>
    <row r="492" spans="1:7" x14ac:dyDescent="0.2">
      <c r="A492" t="s">
        <v>50</v>
      </c>
      <c r="B492" t="s">
        <v>1324</v>
      </c>
      <c r="C492" t="s">
        <v>7</v>
      </c>
      <c r="D492" t="s">
        <v>2077</v>
      </c>
      <c r="F492" t="s">
        <v>1381</v>
      </c>
      <c r="G492" t="s">
        <v>2078</v>
      </c>
    </row>
    <row r="493" spans="1:7" x14ac:dyDescent="0.2">
      <c r="A493" t="s">
        <v>1551</v>
      </c>
      <c r="B493" t="s">
        <v>1325</v>
      </c>
      <c r="C493" t="s">
        <v>7</v>
      </c>
      <c r="D493" t="s">
        <v>2079</v>
      </c>
      <c r="G493" t="s">
        <v>1611</v>
      </c>
    </row>
    <row r="494" spans="1:7" x14ac:dyDescent="0.2">
      <c r="A494" t="s">
        <v>1379</v>
      </c>
      <c r="B494" t="s">
        <v>1326</v>
      </c>
      <c r="C494" t="s">
        <v>7</v>
      </c>
      <c r="D494" t="s">
        <v>2080</v>
      </c>
      <c r="G494" t="s">
        <v>2081</v>
      </c>
    </row>
    <row r="495" spans="1:7" x14ac:dyDescent="0.2">
      <c r="A495" t="s">
        <v>1379</v>
      </c>
      <c r="B495" t="s">
        <v>1327</v>
      </c>
      <c r="C495" t="s">
        <v>7</v>
      </c>
      <c r="D495" t="s">
        <v>2055</v>
      </c>
      <c r="F495" t="s">
        <v>1381</v>
      </c>
      <c r="G495" t="s">
        <v>2082</v>
      </c>
    </row>
    <row r="496" spans="1:7" x14ac:dyDescent="0.2">
      <c r="A496" t="s">
        <v>1379</v>
      </c>
      <c r="B496" t="s">
        <v>1328</v>
      </c>
      <c r="C496" t="s">
        <v>7</v>
      </c>
      <c r="D496" t="s">
        <v>1686</v>
      </c>
      <c r="G496" t="s">
        <v>2083</v>
      </c>
    </row>
    <row r="497" spans="1:7" x14ac:dyDescent="0.2">
      <c r="A497" t="s">
        <v>50</v>
      </c>
      <c r="B497" t="s">
        <v>2084</v>
      </c>
      <c r="C497" t="s">
        <v>249</v>
      </c>
      <c r="D497" t="s">
        <v>2085</v>
      </c>
      <c r="F497" t="s">
        <v>1889</v>
      </c>
      <c r="G497" t="s">
        <v>1467</v>
      </c>
    </row>
    <row r="498" spans="1:7" x14ac:dyDescent="0.2">
      <c r="A498" t="s">
        <v>1379</v>
      </c>
      <c r="B498" t="s">
        <v>1329</v>
      </c>
      <c r="C498" t="s">
        <v>7</v>
      </c>
      <c r="D498" t="s">
        <v>1879</v>
      </c>
      <c r="F498" t="s">
        <v>1370</v>
      </c>
      <c r="G498" t="s">
        <v>2086</v>
      </c>
    </row>
    <row r="499" spans="1:7" x14ac:dyDescent="0.2">
      <c r="A499" t="s">
        <v>1379</v>
      </c>
      <c r="B499" t="s">
        <v>1330</v>
      </c>
      <c r="C499" t="s">
        <v>7</v>
      </c>
      <c r="D499" t="s">
        <v>2087</v>
      </c>
      <c r="F499" t="s">
        <v>1381</v>
      </c>
    </row>
    <row r="500" spans="1:7" x14ac:dyDescent="0.2">
      <c r="A500" t="s">
        <v>43</v>
      </c>
      <c r="B500" t="s">
        <v>1033</v>
      </c>
      <c r="C500" t="s">
        <v>7</v>
      </c>
      <c r="D500" t="s">
        <v>2088</v>
      </c>
      <c r="G500" t="s">
        <v>1941</v>
      </c>
    </row>
    <row r="501" spans="1:7" x14ac:dyDescent="0.2">
      <c r="A501" t="s">
        <v>1379</v>
      </c>
      <c r="B501" t="s">
        <v>1331</v>
      </c>
      <c r="C501" t="s">
        <v>2089</v>
      </c>
      <c r="D501" t="s">
        <v>2090</v>
      </c>
      <c r="F501" t="s">
        <v>2091</v>
      </c>
      <c r="G501" t="s">
        <v>1555</v>
      </c>
    </row>
    <row r="502" spans="1:7" x14ac:dyDescent="0.2">
      <c r="A502" t="s">
        <v>1379</v>
      </c>
      <c r="B502" t="s">
        <v>1332</v>
      </c>
      <c r="C502" t="s">
        <v>2089</v>
      </c>
      <c r="D502" t="s">
        <v>2092</v>
      </c>
      <c r="F502" t="s">
        <v>2091</v>
      </c>
    </row>
    <row r="503" spans="1:7" x14ac:dyDescent="0.2">
      <c r="A503" t="s">
        <v>1379</v>
      </c>
      <c r="B503" t="s">
        <v>1333</v>
      </c>
      <c r="C503" t="s">
        <v>2089</v>
      </c>
      <c r="D503" t="s">
        <v>2093</v>
      </c>
      <c r="F503" t="s">
        <v>2091</v>
      </c>
    </row>
    <row r="504" spans="1:7" x14ac:dyDescent="0.2">
      <c r="A504" t="s">
        <v>1379</v>
      </c>
      <c r="B504" t="s">
        <v>2094</v>
      </c>
      <c r="C504" t="s">
        <v>7</v>
      </c>
      <c r="D504" t="s">
        <v>1643</v>
      </c>
      <c r="E504" t="s">
        <v>2095</v>
      </c>
      <c r="G504" t="s">
        <v>2096</v>
      </c>
    </row>
    <row r="505" spans="1:7" x14ac:dyDescent="0.2">
      <c r="A505" t="s">
        <v>1379</v>
      </c>
      <c r="B505" t="s">
        <v>1334</v>
      </c>
      <c r="C505" t="s">
        <v>7</v>
      </c>
      <c r="D505" t="s">
        <v>1710</v>
      </c>
      <c r="G505" t="s">
        <v>2097</v>
      </c>
    </row>
    <row r="506" spans="1:7" x14ac:dyDescent="0.2">
      <c r="A506" t="s">
        <v>1379</v>
      </c>
      <c r="B506" t="s">
        <v>1335</v>
      </c>
      <c r="C506" t="s">
        <v>642</v>
      </c>
      <c r="D506" t="s">
        <v>2098</v>
      </c>
    </row>
    <row r="507" spans="1:7" x14ac:dyDescent="0.2">
      <c r="A507" t="s">
        <v>1379</v>
      </c>
      <c r="B507" t="s">
        <v>1336</v>
      </c>
      <c r="C507" t="s">
        <v>642</v>
      </c>
      <c r="D507" t="s">
        <v>1686</v>
      </c>
      <c r="F507" t="s">
        <v>1370</v>
      </c>
      <c r="G507" t="s">
        <v>2099</v>
      </c>
    </row>
    <row r="508" spans="1:7" x14ac:dyDescent="0.2">
      <c r="A508" t="s">
        <v>688</v>
      </c>
      <c r="B508" t="s">
        <v>1337</v>
      </c>
      <c r="C508" t="s">
        <v>1547</v>
      </c>
      <c r="D508" t="s">
        <v>2100</v>
      </c>
    </row>
    <row r="509" spans="1:7" x14ac:dyDescent="0.2">
      <c r="A509" t="s">
        <v>1379</v>
      </c>
      <c r="B509" t="s">
        <v>1338</v>
      </c>
      <c r="C509" t="s">
        <v>7</v>
      </c>
      <c r="D509" t="s">
        <v>2101</v>
      </c>
      <c r="G509" t="s">
        <v>2102</v>
      </c>
    </row>
    <row r="510" spans="1:7" x14ac:dyDescent="0.2">
      <c r="A510" t="s">
        <v>1379</v>
      </c>
      <c r="B510" t="s">
        <v>1339</v>
      </c>
      <c r="C510" t="s">
        <v>7</v>
      </c>
      <c r="D510" t="s">
        <v>2103</v>
      </c>
    </row>
    <row r="511" spans="1:7" x14ac:dyDescent="0.2">
      <c r="A511" t="s">
        <v>1379</v>
      </c>
      <c r="B511" t="s">
        <v>1340</v>
      </c>
      <c r="C511" t="s">
        <v>7</v>
      </c>
      <c r="D511" t="s">
        <v>2104</v>
      </c>
    </row>
    <row r="512" spans="1:7" x14ac:dyDescent="0.2">
      <c r="A512" t="s">
        <v>1379</v>
      </c>
      <c r="B512" t="s">
        <v>1341</v>
      </c>
      <c r="C512" t="s">
        <v>7</v>
      </c>
      <c r="D512" t="s">
        <v>2105</v>
      </c>
      <c r="G512" t="s">
        <v>2106</v>
      </c>
    </row>
    <row r="513" spans="1:7" x14ac:dyDescent="0.2">
      <c r="A513" t="s">
        <v>1379</v>
      </c>
      <c r="B513" t="s">
        <v>1342</v>
      </c>
      <c r="C513" t="s">
        <v>7</v>
      </c>
      <c r="D513" t="s">
        <v>1342</v>
      </c>
    </row>
    <row r="514" spans="1:7" x14ac:dyDescent="0.2">
      <c r="A514" t="s">
        <v>1379</v>
      </c>
      <c r="B514" t="s">
        <v>1343</v>
      </c>
      <c r="C514" t="s">
        <v>7</v>
      </c>
      <c r="D514" t="s">
        <v>1343</v>
      </c>
    </row>
    <row r="515" spans="1:7" x14ac:dyDescent="0.2">
      <c r="A515" t="s">
        <v>1379</v>
      </c>
      <c r="B515" t="s">
        <v>1344</v>
      </c>
      <c r="C515" t="s">
        <v>7</v>
      </c>
      <c r="D515" t="s">
        <v>1987</v>
      </c>
      <c r="G515" t="s">
        <v>2107</v>
      </c>
    </row>
    <row r="516" spans="1:7" x14ac:dyDescent="0.2">
      <c r="A516" t="s">
        <v>1379</v>
      </c>
      <c r="B516" t="s">
        <v>1345</v>
      </c>
      <c r="C516" t="s">
        <v>7</v>
      </c>
      <c r="D516" t="s">
        <v>2108</v>
      </c>
      <c r="G516" t="s">
        <v>2107</v>
      </c>
    </row>
    <row r="517" spans="1:7" x14ac:dyDescent="0.2">
      <c r="A517" t="s">
        <v>1379</v>
      </c>
      <c r="B517" t="s">
        <v>1346</v>
      </c>
      <c r="C517" t="s">
        <v>614</v>
      </c>
      <c r="D517" t="s">
        <v>2109</v>
      </c>
      <c r="F517" t="s">
        <v>1367</v>
      </c>
      <c r="G517" t="s">
        <v>2046</v>
      </c>
    </row>
    <row r="518" spans="1:7" x14ac:dyDescent="0.2">
      <c r="A518" t="s">
        <v>1379</v>
      </c>
      <c r="B518" t="s">
        <v>1347</v>
      </c>
      <c r="C518" t="s">
        <v>614</v>
      </c>
      <c r="D518" t="s">
        <v>2110</v>
      </c>
      <c r="F518" t="s">
        <v>1367</v>
      </c>
      <c r="G518" t="s">
        <v>2046</v>
      </c>
    </row>
    <row r="519" spans="1:7" x14ac:dyDescent="0.2">
      <c r="A519" t="s">
        <v>1379</v>
      </c>
      <c r="B519" t="s">
        <v>1348</v>
      </c>
      <c r="C519" t="s">
        <v>1547</v>
      </c>
      <c r="D519" t="s">
        <v>2111</v>
      </c>
      <c r="G519" t="s">
        <v>2112</v>
      </c>
    </row>
    <row r="520" spans="1:7" x14ac:dyDescent="0.2">
      <c r="A520" t="s">
        <v>1379</v>
      </c>
      <c r="B520" t="s">
        <v>1349</v>
      </c>
      <c r="C520" t="s">
        <v>1547</v>
      </c>
      <c r="D520" t="s">
        <v>2113</v>
      </c>
      <c r="G520" t="s">
        <v>2112</v>
      </c>
    </row>
    <row r="521" spans="1:7" x14ac:dyDescent="0.2">
      <c r="A521" t="s">
        <v>688</v>
      </c>
      <c r="B521" t="s">
        <v>2114</v>
      </c>
      <c r="C521" t="s">
        <v>642</v>
      </c>
      <c r="D521" t="s">
        <v>2115</v>
      </c>
      <c r="F521" t="s">
        <v>1370</v>
      </c>
      <c r="G521" t="s">
        <v>2116</v>
      </c>
    </row>
    <row r="522" spans="1:7" x14ac:dyDescent="0.2">
      <c r="A522" t="s">
        <v>1379</v>
      </c>
      <c r="B522" t="s">
        <v>1350</v>
      </c>
      <c r="C522" t="s">
        <v>1547</v>
      </c>
      <c r="D522" t="s">
        <v>2041</v>
      </c>
      <c r="F522" t="s">
        <v>1457</v>
      </c>
    </row>
    <row r="523" spans="1:7" x14ac:dyDescent="0.2">
      <c r="A523" t="s">
        <v>1379</v>
      </c>
      <c r="B523" t="s">
        <v>1351</v>
      </c>
      <c r="C523" t="s">
        <v>7</v>
      </c>
      <c r="D523" t="s">
        <v>2117</v>
      </c>
      <c r="F523" t="s">
        <v>1370</v>
      </c>
      <c r="G523" t="s">
        <v>2118</v>
      </c>
    </row>
    <row r="524" spans="1:7" x14ac:dyDescent="0.2">
      <c r="A524" t="s">
        <v>1379</v>
      </c>
      <c r="B524" t="s">
        <v>1352</v>
      </c>
      <c r="C524" t="s">
        <v>642</v>
      </c>
      <c r="D524" t="s">
        <v>1710</v>
      </c>
      <c r="F524" t="s">
        <v>1400</v>
      </c>
      <c r="G524" t="s">
        <v>2119</v>
      </c>
    </row>
    <row r="525" spans="1:7" x14ac:dyDescent="0.2">
      <c r="A525" t="s">
        <v>1379</v>
      </c>
      <c r="B525" t="s">
        <v>1061</v>
      </c>
      <c r="C525" t="s">
        <v>7</v>
      </c>
      <c r="D525" t="s">
        <v>1710</v>
      </c>
      <c r="E525" t="s">
        <v>2120</v>
      </c>
      <c r="F525" t="s">
        <v>2121</v>
      </c>
    </row>
    <row r="526" spans="1:7" x14ac:dyDescent="0.2">
      <c r="A526" t="s">
        <v>1379</v>
      </c>
      <c r="B526" t="s">
        <v>1353</v>
      </c>
      <c r="C526" t="s">
        <v>7</v>
      </c>
      <c r="D526" t="s">
        <v>2122</v>
      </c>
      <c r="F526" t="s">
        <v>1370</v>
      </c>
    </row>
    <row r="527" spans="1:7" x14ac:dyDescent="0.2">
      <c r="A527" t="s">
        <v>1379</v>
      </c>
      <c r="B527" t="s">
        <v>1354</v>
      </c>
      <c r="C527" t="s">
        <v>7</v>
      </c>
      <c r="D527" t="s">
        <v>2123</v>
      </c>
      <c r="E527" t="s">
        <v>2124</v>
      </c>
      <c r="G527" t="s">
        <v>2125</v>
      </c>
    </row>
    <row r="528" spans="1:7" x14ac:dyDescent="0.2">
      <c r="A528" t="s">
        <v>1379</v>
      </c>
      <c r="B528" t="s">
        <v>1355</v>
      </c>
      <c r="C528" t="s">
        <v>7</v>
      </c>
      <c r="D528" t="s">
        <v>2126</v>
      </c>
      <c r="G528" t="s">
        <v>2127</v>
      </c>
    </row>
    <row r="529" spans="1:7" x14ac:dyDescent="0.2">
      <c r="A529" t="s">
        <v>1379</v>
      </c>
      <c r="B529" t="s">
        <v>1356</v>
      </c>
      <c r="C529" t="s">
        <v>7</v>
      </c>
      <c r="D529" t="s">
        <v>2128</v>
      </c>
      <c r="G529" t="s">
        <v>2129</v>
      </c>
    </row>
    <row r="530" spans="1:7" x14ac:dyDescent="0.2">
      <c r="A530" t="s">
        <v>1379</v>
      </c>
      <c r="B530" t="s">
        <v>1357</v>
      </c>
      <c r="C530" t="s">
        <v>1547</v>
      </c>
      <c r="F530" t="s">
        <v>2130</v>
      </c>
      <c r="G530" t="s">
        <v>2131</v>
      </c>
    </row>
    <row r="531" spans="1:7" x14ac:dyDescent="0.2">
      <c r="A531" t="s">
        <v>1379</v>
      </c>
      <c r="B531" t="s">
        <v>1358</v>
      </c>
      <c r="C531" t="s">
        <v>1547</v>
      </c>
      <c r="D531" t="s">
        <v>2132</v>
      </c>
      <c r="F531" t="s">
        <v>2130</v>
      </c>
      <c r="G531" t="s">
        <v>2133</v>
      </c>
    </row>
    <row r="532" spans="1:7" x14ac:dyDescent="0.2">
      <c r="A532" t="s">
        <v>1379</v>
      </c>
      <c r="B532" t="s">
        <v>1359</v>
      </c>
      <c r="C532" t="s">
        <v>7</v>
      </c>
      <c r="F532" t="s">
        <v>1370</v>
      </c>
      <c r="G532" t="s">
        <v>2134</v>
      </c>
    </row>
    <row r="533" spans="1:7" x14ac:dyDescent="0.2">
      <c r="A533" t="s">
        <v>1379</v>
      </c>
      <c r="B533" t="s">
        <v>1360</v>
      </c>
      <c r="C533" t="s">
        <v>7</v>
      </c>
      <c r="D533" t="s">
        <v>2135</v>
      </c>
      <c r="G533" t="s">
        <v>2136</v>
      </c>
    </row>
    <row r="534" spans="1:7" x14ac:dyDescent="0.2">
      <c r="A534" t="s">
        <v>59</v>
      </c>
      <c r="B534" t="s">
        <v>1361</v>
      </c>
      <c r="C534" t="s">
        <v>614</v>
      </c>
      <c r="D534" t="s">
        <v>2137</v>
      </c>
      <c r="F534" t="s">
        <v>1381</v>
      </c>
    </row>
    <row r="535" spans="1:7" x14ac:dyDescent="0.2">
      <c r="A535" t="s">
        <v>59</v>
      </c>
      <c r="B535" t="s">
        <v>1362</v>
      </c>
      <c r="C535" t="s">
        <v>614</v>
      </c>
      <c r="D535" t="s">
        <v>2138</v>
      </c>
      <c r="F535" t="s">
        <v>1381</v>
      </c>
    </row>
    <row r="536" spans="1:7" x14ac:dyDescent="0.2">
      <c r="A536" t="s">
        <v>59</v>
      </c>
      <c r="B536" t="s">
        <v>1363</v>
      </c>
      <c r="C536" t="s">
        <v>614</v>
      </c>
      <c r="G536" t="s">
        <v>2139</v>
      </c>
    </row>
    <row r="537" spans="1:7" x14ac:dyDescent="0.2">
      <c r="A537" t="s">
        <v>280</v>
      </c>
      <c r="B537" t="s">
        <v>2140</v>
      </c>
      <c r="C537" t="s">
        <v>7</v>
      </c>
      <c r="D537" t="s">
        <v>2141</v>
      </c>
      <c r="G537" t="s">
        <v>2142</v>
      </c>
    </row>
    <row r="538" spans="1:7" x14ac:dyDescent="0.2">
      <c r="A538" t="s">
        <v>43</v>
      </c>
      <c r="B538" t="s">
        <v>1364</v>
      </c>
      <c r="C538" t="s">
        <v>7</v>
      </c>
      <c r="D538" t="s">
        <v>636</v>
      </c>
      <c r="E538" t="s">
        <v>2143</v>
      </c>
      <c r="G538" t="s">
        <v>1423</v>
      </c>
    </row>
    <row r="539" spans="1:7" x14ac:dyDescent="0.2">
      <c r="A539" t="s">
        <v>1379</v>
      </c>
      <c r="B539" t="s">
        <v>1365</v>
      </c>
      <c r="C539" t="s">
        <v>7</v>
      </c>
      <c r="D539" t="s">
        <v>2144</v>
      </c>
      <c r="F539" t="s">
        <v>1370</v>
      </c>
    </row>
    <row r="540" spans="1:7" x14ac:dyDescent="0.2">
      <c r="A540" t="s">
        <v>50</v>
      </c>
      <c r="B540" t="s">
        <v>1078</v>
      </c>
      <c r="C540" t="s">
        <v>614</v>
      </c>
      <c r="D540" t="s">
        <v>2145</v>
      </c>
      <c r="E540" t="s">
        <v>1899</v>
      </c>
      <c r="F540" t="s">
        <v>1440</v>
      </c>
      <c r="G540" t="s">
        <v>1420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6956-6D75-8B46-859B-783BDE963798}">
  <dimension ref="A1:F9"/>
  <sheetViews>
    <sheetView workbookViewId="0">
      <selection activeCell="B10" sqref="B10"/>
    </sheetView>
  </sheetViews>
  <sheetFormatPr baseColWidth="10" defaultColWidth="10.6640625" defaultRowHeight="16" x14ac:dyDescent="0.2"/>
  <cols>
    <col min="1" max="1" width="14.5" bestFit="1" customWidth="1"/>
    <col min="2" max="2" width="14.83203125" bestFit="1" customWidth="1"/>
    <col min="4" max="4" width="14.5" bestFit="1" customWidth="1"/>
    <col min="5" max="5" width="11.6640625" bestFit="1" customWidth="1"/>
  </cols>
  <sheetData>
    <row r="1" spans="1:6" x14ac:dyDescent="0.2">
      <c r="D1" s="33" t="s">
        <v>134</v>
      </c>
      <c r="E1" t="s">
        <v>135</v>
      </c>
    </row>
    <row r="3" spans="1:6" x14ac:dyDescent="0.2">
      <c r="A3" s="33" t="s">
        <v>232</v>
      </c>
      <c r="B3" t="s">
        <v>235</v>
      </c>
      <c r="D3" s="33" t="s">
        <v>232</v>
      </c>
      <c r="E3" t="s">
        <v>236</v>
      </c>
    </row>
    <row r="4" spans="1:6" x14ac:dyDescent="0.2">
      <c r="A4" s="34" t="s">
        <v>6</v>
      </c>
      <c r="B4">
        <v>25300</v>
      </c>
      <c r="D4" s="34" t="s">
        <v>6</v>
      </c>
      <c r="E4">
        <v>26355</v>
      </c>
      <c r="F4">
        <f>GETPIVOTDATA("Cost",$D$3,"Shop Name","N G Garments")-GETPIVOTDATA("Buy Price",$A$3,"Shop Name","N G Garments")</f>
        <v>1055</v>
      </c>
    </row>
    <row r="5" spans="1:6" x14ac:dyDescent="0.2">
      <c r="A5" s="34" t="s">
        <v>75</v>
      </c>
      <c r="B5">
        <v>19620</v>
      </c>
      <c r="D5" s="34" t="s">
        <v>75</v>
      </c>
      <c r="E5">
        <v>19845</v>
      </c>
      <c r="F5">
        <f>GETPIVOTDATA("Cost",$D$3,"Shop Name","Rudra Fashion")-GETPIVOTDATA("Buy Price",$A$3,"Shop Name","Rudra Fashion")</f>
        <v>225</v>
      </c>
    </row>
    <row r="6" spans="1:6" x14ac:dyDescent="0.2">
      <c r="A6" s="34" t="s">
        <v>61</v>
      </c>
      <c r="B6">
        <v>4670</v>
      </c>
      <c r="D6" s="34" t="s">
        <v>155</v>
      </c>
      <c r="E6">
        <v>4670</v>
      </c>
      <c r="F6">
        <f>GETPIVOTDATA("Cost",$D$3,"Shop Name","RV Fashions")-GETPIVOTDATA("Buy Price",$A$3,"Shop Name","RV Fashion")</f>
        <v>0</v>
      </c>
    </row>
    <row r="7" spans="1:6" x14ac:dyDescent="0.2">
      <c r="A7" s="34" t="s">
        <v>11</v>
      </c>
      <c r="B7">
        <v>17560</v>
      </c>
      <c r="D7" s="34" t="s">
        <v>11</v>
      </c>
      <c r="E7">
        <v>16065</v>
      </c>
      <c r="F7">
        <f>GETPIVOTDATA("Cost",$D$3,"Shop Name","Soma Collection")-GETPIVOTDATA("Buy Price",$A$3,"Shop Name","Soma Collection")</f>
        <v>-1495</v>
      </c>
    </row>
    <row r="8" spans="1:6" x14ac:dyDescent="0.2">
      <c r="A8" s="34" t="s">
        <v>233</v>
      </c>
      <c r="D8" s="34" t="s">
        <v>234</v>
      </c>
      <c r="E8">
        <v>66935</v>
      </c>
    </row>
    <row r="9" spans="1:6" x14ac:dyDescent="0.2">
      <c r="A9" s="34" t="s">
        <v>234</v>
      </c>
      <c r="B9">
        <v>67150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expense</vt:lpstr>
      <vt:lpstr>inventory</vt:lpstr>
      <vt:lpstr>customer</vt:lpstr>
      <vt:lpstr>transport</vt:lpstr>
      <vt:lpstr>seller</vt:lpstr>
      <vt:lpstr>product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Sutirtha Chakraborty</dc:creator>
  <cp:lastModifiedBy>Sutirtha Chakraborty</cp:lastModifiedBy>
  <dcterms:created xsi:type="dcterms:W3CDTF">2024-07-13T17:38:21Z</dcterms:created>
  <dcterms:modified xsi:type="dcterms:W3CDTF">2026-03-07T23:56:04Z</dcterms:modified>
</cp:coreProperties>
</file>